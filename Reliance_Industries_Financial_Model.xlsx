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ardi\Downloads\"/>
    </mc:Choice>
  </mc:AlternateContent>
  <xr:revisionPtr revIDLastSave="0" documentId="13_ncr:1_{E06443D2-7338-4E13-BA18-E279A37104B6}" xr6:coauthVersionLast="47" xr6:coauthVersionMax="47" xr10:uidLastSave="{00000000-0000-0000-0000-000000000000}"/>
  <bookViews>
    <workbookView xWindow="-110" yWindow="-110" windowWidth="19420" windowHeight="10300" firstSheet="1" activeTab="4" xr2:uid="{AF98A179-FF3F-4ABF-B5E8-9BEB92D693E3}"/>
  </bookViews>
  <sheets>
    <sheet name="Cover" sheetId="7" r:id="rId1"/>
    <sheet name="Income_Statement" sheetId="2" r:id="rId2"/>
    <sheet name="Balance_Sheet" sheetId="3" r:id="rId3"/>
    <sheet name="Cash_Flow" sheetId="4" r:id="rId4"/>
    <sheet name="Ratio_Analysis" sheetId="5" r:id="rId5"/>
    <sheet name="DashBoard" sheetId="1" r:id="rId6"/>
    <sheet name="Key_Findings" sheetId="8" r:id="rId7"/>
  </sheets>
  <definedNames>
    <definedName name="_xlchart.v1.0" hidden="1">DashBoard!$U$16:$U$19</definedName>
    <definedName name="_xlchart.v1.1" hidden="1">DashBoard!$V$15</definedName>
    <definedName name="_xlchart.v1.2" hidden="1">DashBoard!$V$16:$V$19</definedName>
    <definedName name="_xlchart.v1.3" hidden="1">DashBoard!$U$17:$U$20</definedName>
    <definedName name="_xlchart.v1.4" hidden="1">DashBoard!$V$16</definedName>
    <definedName name="_xlchart.v1.5" hidden="1">DashBoard!$V$17:$V$20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8" i="8" l="1"/>
  <c r="B7" i="8"/>
  <c r="B6" i="8"/>
  <c r="Y17" i="1"/>
  <c r="Z17" i="1"/>
  <c r="AA17" i="1"/>
  <c r="AB17" i="1"/>
  <c r="Y18" i="1"/>
  <c r="Z18" i="1"/>
  <c r="AA18" i="1"/>
  <c r="AB18" i="1"/>
  <c r="Y19" i="1"/>
  <c r="Z19" i="1"/>
  <c r="AA19" i="1"/>
  <c r="AB19" i="1"/>
  <c r="AC17" i="1"/>
  <c r="AC18" i="1"/>
  <c r="AC19" i="1"/>
  <c r="V20" i="1"/>
  <c r="V19" i="1"/>
  <c r="V18" i="1"/>
  <c r="V17" i="1"/>
  <c r="W13" i="1"/>
  <c r="X13" i="1"/>
  <c r="Y13" i="1"/>
  <c r="Z13" i="1"/>
  <c r="V13" i="1"/>
  <c r="W12" i="1"/>
  <c r="X12" i="1"/>
  <c r="Y12" i="1"/>
  <c r="Z12" i="1"/>
  <c r="V12" i="1"/>
  <c r="V14" i="1"/>
  <c r="W14" i="1"/>
  <c r="X14" i="1"/>
  <c r="Y14" i="1"/>
  <c r="Z14" i="1"/>
  <c r="W8" i="1"/>
  <c r="X8" i="1"/>
  <c r="Y8" i="1"/>
  <c r="Z8" i="1"/>
  <c r="V8" i="1"/>
  <c r="W9" i="1"/>
  <c r="X9" i="1"/>
  <c r="Y9" i="1"/>
  <c r="Z9" i="1"/>
  <c r="V9" i="1"/>
  <c r="V7" i="1"/>
  <c r="W7" i="1"/>
  <c r="X7" i="1"/>
  <c r="Y7" i="1"/>
  <c r="Z7" i="1"/>
  <c r="H5" i="1"/>
  <c r="F5" i="1"/>
  <c r="D5" i="1"/>
  <c r="B5" i="1"/>
  <c r="G15" i="5"/>
  <c r="G24" i="5"/>
  <c r="G20" i="5"/>
  <c r="G21" i="5"/>
  <c r="G19" i="5"/>
  <c r="G6" i="5"/>
  <c r="G7" i="5"/>
  <c r="G8" i="5"/>
  <c r="G9" i="5"/>
  <c r="G10" i="5"/>
  <c r="G11" i="5"/>
  <c r="G5" i="5"/>
  <c r="C16" i="5"/>
  <c r="D16" i="5"/>
  <c r="E16" i="5"/>
  <c r="F16" i="5"/>
  <c r="B16" i="5"/>
  <c r="C15" i="5"/>
  <c r="D15" i="5"/>
  <c r="E15" i="5"/>
  <c r="F15" i="5"/>
  <c r="B15" i="5"/>
  <c r="C14" i="5"/>
  <c r="D14" i="5"/>
  <c r="E14" i="5"/>
  <c r="F14" i="5"/>
  <c r="B14" i="5"/>
  <c r="C32" i="5"/>
  <c r="D32" i="5"/>
  <c r="E32" i="5"/>
  <c r="F32" i="5"/>
  <c r="B32" i="5"/>
  <c r="C31" i="5"/>
  <c r="D31" i="5"/>
  <c r="E31" i="5"/>
  <c r="F31" i="5"/>
  <c r="B31" i="5"/>
  <c r="C30" i="5"/>
  <c r="D30" i="5"/>
  <c r="E30" i="5"/>
  <c r="F30" i="5"/>
  <c r="B30" i="5"/>
  <c r="C29" i="5"/>
  <c r="D29" i="5"/>
  <c r="E29" i="5"/>
  <c r="F29" i="5"/>
  <c r="B29" i="5"/>
  <c r="C26" i="5"/>
  <c r="D26" i="5"/>
  <c r="E26" i="5"/>
  <c r="F26" i="5"/>
  <c r="B26" i="5"/>
  <c r="B25" i="5"/>
  <c r="C25" i="5"/>
  <c r="D25" i="5"/>
  <c r="E25" i="5"/>
  <c r="F25" i="5"/>
  <c r="C24" i="5"/>
  <c r="D24" i="5"/>
  <c r="E24" i="5"/>
  <c r="F24" i="5"/>
  <c r="B24" i="5"/>
  <c r="C21" i="5"/>
  <c r="D21" i="5"/>
  <c r="E21" i="5"/>
  <c r="F21" i="5"/>
  <c r="B21" i="5"/>
  <c r="C20" i="5"/>
  <c r="D20" i="5"/>
  <c r="E20" i="5"/>
  <c r="F20" i="5"/>
  <c r="B20" i="5"/>
  <c r="D19" i="5"/>
  <c r="E19" i="5"/>
  <c r="F19" i="5"/>
  <c r="C19" i="5"/>
  <c r="B19" i="5"/>
  <c r="C11" i="5"/>
  <c r="D11" i="5"/>
  <c r="E11" i="5"/>
  <c r="F11" i="5"/>
  <c r="B11" i="5"/>
  <c r="C10" i="5"/>
  <c r="D10" i="5"/>
  <c r="E10" i="5"/>
  <c r="F10" i="5"/>
  <c r="B9" i="5"/>
  <c r="B10" i="5"/>
  <c r="C9" i="5"/>
  <c r="D9" i="5"/>
  <c r="E9" i="5"/>
  <c r="F9" i="5"/>
  <c r="C8" i="5"/>
  <c r="D8" i="5"/>
  <c r="E8" i="5"/>
  <c r="F8" i="5"/>
  <c r="B8" i="5"/>
  <c r="C7" i="5"/>
  <c r="D7" i="5"/>
  <c r="E7" i="5"/>
  <c r="F7" i="5"/>
  <c r="B7" i="5"/>
  <c r="C5" i="5"/>
  <c r="D5" i="5"/>
  <c r="E5" i="5"/>
  <c r="F5" i="5"/>
  <c r="B5" i="5"/>
  <c r="D6" i="5"/>
  <c r="E6" i="5"/>
  <c r="F6" i="5"/>
  <c r="C6" i="5"/>
  <c r="B6" i="5"/>
  <c r="C26" i="4"/>
  <c r="D26" i="4"/>
  <c r="E26" i="4"/>
  <c r="F26" i="4"/>
  <c r="B26" i="4"/>
  <c r="C25" i="4"/>
  <c r="D25" i="4"/>
  <c r="E25" i="4"/>
  <c r="F25" i="4"/>
  <c r="B25" i="4"/>
  <c r="C23" i="4"/>
  <c r="D23" i="4"/>
  <c r="E23" i="4"/>
  <c r="F23" i="4"/>
  <c r="B23" i="4"/>
  <c r="C22" i="4"/>
  <c r="D22" i="4"/>
  <c r="E22" i="4"/>
  <c r="F22" i="4"/>
  <c r="B22" i="4"/>
  <c r="C24" i="4"/>
  <c r="D24" i="4"/>
  <c r="E24" i="4"/>
  <c r="F24" i="4"/>
  <c r="B24" i="4"/>
  <c r="G21" i="3"/>
  <c r="G17" i="3"/>
  <c r="G10" i="3"/>
  <c r="G6" i="3"/>
  <c r="G5" i="3"/>
  <c r="C21" i="3"/>
  <c r="D21" i="3"/>
  <c r="E21" i="3"/>
  <c r="F21" i="3"/>
  <c r="B21" i="3"/>
  <c r="F14" i="3"/>
  <c r="C14" i="3"/>
  <c r="D14" i="3"/>
  <c r="E14" i="3"/>
  <c r="B14" i="3"/>
  <c r="C12" i="3"/>
  <c r="D12" i="3"/>
  <c r="E12" i="3"/>
  <c r="F12" i="3"/>
  <c r="B12" i="3"/>
  <c r="C7" i="3"/>
  <c r="D7" i="3"/>
  <c r="E7" i="3"/>
  <c r="F7" i="3"/>
  <c r="B7" i="3"/>
  <c r="B17" i="2"/>
  <c r="G21" i="2"/>
  <c r="G20" i="2"/>
  <c r="G17" i="2"/>
  <c r="G5" i="2"/>
  <c r="C37" i="2"/>
  <c r="D37" i="2"/>
  <c r="E37" i="2"/>
  <c r="F37" i="2"/>
  <c r="D36" i="2"/>
  <c r="E36" i="2"/>
  <c r="F36" i="2"/>
  <c r="C36" i="2"/>
  <c r="D34" i="2"/>
  <c r="E34" i="2"/>
  <c r="F34" i="2"/>
  <c r="C34" i="2"/>
  <c r="B30" i="2"/>
  <c r="B26" i="2"/>
  <c r="C26" i="2"/>
  <c r="D26" i="2"/>
  <c r="E26" i="2"/>
  <c r="F26" i="2"/>
  <c r="C31" i="2"/>
  <c r="D31" i="2"/>
  <c r="E31" i="2"/>
  <c r="F31" i="2"/>
  <c r="B31" i="2"/>
  <c r="C30" i="2"/>
  <c r="D30" i="2"/>
  <c r="E30" i="2"/>
  <c r="F30" i="2"/>
  <c r="C17" i="2"/>
  <c r="C18" i="2" s="1"/>
  <c r="D17" i="2"/>
  <c r="D18" i="2" s="1"/>
  <c r="E17" i="2"/>
  <c r="E18" i="2" s="1"/>
  <c r="F17" i="2"/>
  <c r="F18" i="2" s="1"/>
  <c r="G18" i="2" s="1"/>
  <c r="B24" i="2"/>
  <c r="B18" i="2" l="1"/>
  <c r="F35" i="2"/>
  <c r="F24" i="2"/>
  <c r="C35" i="2"/>
  <c r="E35" i="2"/>
  <c r="E24" i="2"/>
  <c r="D35" i="2"/>
  <c r="D24" i="2"/>
  <c r="C24" i="2"/>
  <c r="C14" i="2" l="1"/>
  <c r="D14" i="2"/>
  <c r="E14" i="2"/>
  <c r="F14" i="2"/>
  <c r="B14" i="2"/>
  <c r="C7" i="2"/>
  <c r="C25" i="2" s="1"/>
  <c r="D7" i="2"/>
  <c r="D25" i="2" s="1"/>
  <c r="E7" i="2"/>
  <c r="E25" i="2" s="1"/>
  <c r="F7" i="2"/>
  <c r="F25" i="2" s="1"/>
  <c r="B7" i="2"/>
  <c r="B25" i="2" s="1"/>
</calcChain>
</file>

<file path=xl/sharedStrings.xml><?xml version="1.0" encoding="utf-8"?>
<sst xmlns="http://schemas.openxmlformats.org/spreadsheetml/2006/main" count="232" uniqueCount="182">
  <si>
    <t>RELIANCE INDUSTRIES LIMITED</t>
  </si>
  <si>
    <t>Financial Statement Analysis — FY2021 to FY2025</t>
  </si>
  <si>
    <t>Company</t>
  </si>
  <si>
    <t>Ticker</t>
  </si>
  <si>
    <t>Sector</t>
  </si>
  <si>
    <t>Currency</t>
  </si>
  <si>
    <t>Period</t>
  </si>
  <si>
    <t>Data Source</t>
  </si>
  <si>
    <t>Analyst</t>
  </si>
  <si>
    <t>Date</t>
  </si>
  <si>
    <t>Reliance Industries Limited</t>
  </si>
  <si>
    <t>NSE: RELIANCE / BSE: 500325</t>
  </si>
  <si>
    <t>Oil &amp; Gas, Telecom, Retail</t>
  </si>
  <si>
    <t>Indian Rupees (₹ Crores)</t>
  </si>
  <si>
    <t>FY2021 — FY2025</t>
  </si>
  <si>
    <t>Screener.in</t>
  </si>
  <si>
    <t>Hardik Parmar</t>
  </si>
  <si>
    <t>This model is built for educational and portfolio purposes only. Data sourced from publicly available financial statements via Screener.in</t>
  </si>
  <si>
    <t>RELIANCE INDUSTRIES - INCOME STATEMENT</t>
  </si>
  <si>
    <t>All figures in ₹ Crores</t>
  </si>
  <si>
    <t>Particulars</t>
  </si>
  <si>
    <t>FY2021</t>
  </si>
  <si>
    <t>FY2022</t>
  </si>
  <si>
    <t>FY2023</t>
  </si>
  <si>
    <t>FY2024</t>
  </si>
  <si>
    <t>FY2025</t>
  </si>
  <si>
    <t>5Y CAGR</t>
  </si>
  <si>
    <t>REVENUE</t>
  </si>
  <si>
    <t>Revenue from Operations</t>
  </si>
  <si>
    <t>Other Income</t>
  </si>
  <si>
    <t>Total Revenue</t>
  </si>
  <si>
    <t>EXPENSES</t>
  </si>
  <si>
    <t>Depreciation</t>
  </si>
  <si>
    <t>PROFITABILITY</t>
  </si>
  <si>
    <t>EBITDA</t>
  </si>
  <si>
    <t>Profit Before Tax</t>
  </si>
  <si>
    <t>Tax</t>
  </si>
  <si>
    <t>Earnings Per Share</t>
  </si>
  <si>
    <t>GROWTH RATES</t>
  </si>
  <si>
    <t>MARGINS</t>
  </si>
  <si>
    <t>Net Profit Margin %</t>
  </si>
  <si>
    <t>Tax Rate %</t>
  </si>
  <si>
    <t>MARKET DATA</t>
  </si>
  <si>
    <t>Price</t>
  </si>
  <si>
    <t>P/E Ratio</t>
  </si>
  <si>
    <t>Market Cap (₹ Cr)</t>
  </si>
  <si>
    <t>Sales Growth %</t>
  </si>
  <si>
    <t>Operating Profit Growth %</t>
  </si>
  <si>
    <t>EPS Growth %</t>
  </si>
  <si>
    <t>Interest</t>
  </si>
  <si>
    <t>Operating Expenses</t>
  </si>
  <si>
    <t>Total Expense</t>
  </si>
  <si>
    <t>Net Profit</t>
  </si>
  <si>
    <t>Operating Profit Margin %</t>
  </si>
  <si>
    <t>-</t>
  </si>
  <si>
    <t>EBIT (Operating Profit)</t>
  </si>
  <si>
    <t>Net Profit (PAT)</t>
  </si>
  <si>
    <t>Net Profit (PAT) Growth %</t>
  </si>
  <si>
    <t>RELIANCE INDUSTRIES - BALANCE SHEET</t>
  </si>
  <si>
    <t>ASSETS</t>
  </si>
  <si>
    <t>EQUITY</t>
  </si>
  <si>
    <t>Equity Share Capital</t>
  </si>
  <si>
    <t>Reserves</t>
  </si>
  <si>
    <t>Total Equity</t>
  </si>
  <si>
    <t>LIABILITIES</t>
  </si>
  <si>
    <t>Borrowings</t>
  </si>
  <si>
    <t>Other Liabilities</t>
  </si>
  <si>
    <t>Total Liabilities</t>
  </si>
  <si>
    <t>TOTAL EQUITY &amp; LIABILITIES</t>
  </si>
  <si>
    <t>Net Block (Fixed Assets)</t>
  </si>
  <si>
    <t>Capital Work in Progress</t>
  </si>
  <si>
    <t>Investments</t>
  </si>
  <si>
    <t>Other Assets</t>
  </si>
  <si>
    <t>Total Assets</t>
  </si>
  <si>
    <t>WORKING CAPITAL</t>
  </si>
  <si>
    <t>Working Capital</t>
  </si>
  <si>
    <t>Debtors</t>
  </si>
  <si>
    <t>Inventory</t>
  </si>
  <si>
    <t>EFFICIENCY RATIOS</t>
  </si>
  <si>
    <t>Debtor Days</t>
  </si>
  <si>
    <t>Inventory Turnover</t>
  </si>
  <si>
    <t>RETURNS</t>
  </si>
  <si>
    <t>Return on Equity (ROE)</t>
  </si>
  <si>
    <t>Return on Capital Employed (ROCE)</t>
  </si>
  <si>
    <t>RELIANCE INDUSTRIES - CASH FLOW STATEMENT</t>
  </si>
  <si>
    <t>OPERATING ACTIVITIES</t>
  </si>
  <si>
    <t>Cash from Operations</t>
  </si>
  <si>
    <t>INVESTING ACTIVITIES</t>
  </si>
  <si>
    <t>Cash from Investing</t>
  </si>
  <si>
    <t>FINANCING ACTIVITIES</t>
  </si>
  <si>
    <t>Cash from Financing</t>
  </si>
  <si>
    <t>NET CASH FLOW</t>
  </si>
  <si>
    <t>Net Cash Flow</t>
  </si>
  <si>
    <t>CASH FLOW ANALYSIS</t>
  </si>
  <si>
    <t>Opening Cash Balance</t>
  </si>
  <si>
    <t>Closing Cash Balance</t>
  </si>
  <si>
    <t>Change in Cash</t>
  </si>
  <si>
    <t>KEY METRICS</t>
  </si>
  <si>
    <t>Free Cash Flow (FCF)</t>
  </si>
  <si>
    <t>FCF Margin %</t>
  </si>
  <si>
    <t>Capex</t>
  </si>
  <si>
    <t>Capex to Sales %</t>
  </si>
  <si>
    <t>Operating Cash Flow Margin %</t>
  </si>
  <si>
    <t>5Y AVERAGE</t>
  </si>
  <si>
    <t>All figures in ₹ Crores unless stated</t>
  </si>
  <si>
    <t>PROFITABILITY RATIOS</t>
  </si>
  <si>
    <t>Gross Profit Margin %</t>
  </si>
  <si>
    <t>EBITDA Margin %</t>
  </si>
  <si>
    <t>Return on Equity (ROE) %</t>
  </si>
  <si>
    <t>Return on Capital Employed (ROCE) %</t>
  </si>
  <si>
    <t>Return on Assets (ROA) %</t>
  </si>
  <si>
    <t>LIQUIDITY RATIOS</t>
  </si>
  <si>
    <t>Debt to Equity Ratio</t>
  </si>
  <si>
    <t>LEVERAGE RATIOS</t>
  </si>
  <si>
    <t>Debt to EBITDA</t>
  </si>
  <si>
    <t>Interest Coverage Ratio</t>
  </si>
  <si>
    <t>Asset Turnover Ratio</t>
  </si>
  <si>
    <t>VALUATION RATIOS</t>
  </si>
  <si>
    <t>Price to Earnings (P/E)</t>
  </si>
  <si>
    <t>Price to Book (P/B)</t>
  </si>
  <si>
    <t>EV/EBITDA</t>
  </si>
  <si>
    <t>Market Cap to Sales</t>
  </si>
  <si>
    <t>RELIANCE INDUSTRIES - RATIO ANALYSIS</t>
  </si>
  <si>
    <t>Working Capital to Sales</t>
  </si>
  <si>
    <t xml:space="preserve">Cash &amp; Equivalents </t>
  </si>
  <si>
    <t xml:space="preserve">FY2025 Revenue </t>
  </si>
  <si>
    <t>FY2025 Net Profit</t>
  </si>
  <si>
    <t>4Y Revenue CAGR</t>
  </si>
  <si>
    <t>FY2025 ROCE</t>
  </si>
  <si>
    <t>Revenue</t>
  </si>
  <si>
    <t>OPM %</t>
  </si>
  <si>
    <t>Net Margin %</t>
  </si>
  <si>
    <t>Category</t>
  </si>
  <si>
    <t xml:space="preserve"> Value</t>
  </si>
  <si>
    <t>Operating CF</t>
  </si>
  <si>
    <t>Investing CF</t>
  </si>
  <si>
    <t>Financing CF</t>
  </si>
  <si>
    <t>ROE %</t>
  </si>
  <si>
    <t>ROCE %</t>
  </si>
  <si>
    <t>ROA %</t>
  </si>
  <si>
    <t>RELIANCE INDUSTRIES LIMITED - FINANCIAL ANALYSIS DASHBOARD FY2021-FY2025</t>
  </si>
  <si>
    <t>Financial Model | Excel | Data Source: Screener.in &amp; Annual Reports</t>
  </si>
  <si>
    <t>Reliance Industries Annual Reports | Built by Hardik Parmar | For Educational &amp; Portfolio Purposes Only | March 2026</t>
  </si>
  <si>
    <t>Financial Analysis FY2021-FY2025 | All figures in ₹ Crores</t>
  </si>
  <si>
    <t>COMPANY SNAPSHOT</t>
  </si>
  <si>
    <t>Market Cap (FY2025)</t>
  </si>
  <si>
    <t>Revenue (FY2025)</t>
  </si>
  <si>
    <t>Net Profit (FY2025)</t>
  </si>
  <si>
    <t>Employees</t>
  </si>
  <si>
    <t>Founded</t>
  </si>
  <si>
    <t>Chairman</t>
  </si>
  <si>
    <t>KEY FINANCIAL HIGHLIGHTS</t>
  </si>
  <si>
    <t>Highlight 1</t>
  </si>
  <si>
    <t>Highlight 2</t>
  </si>
  <si>
    <t>Highlight 3</t>
  </si>
  <si>
    <t>Highlight 4</t>
  </si>
  <si>
    <t>Highlight 5</t>
  </si>
  <si>
    <t>STRENGTHS</t>
  </si>
  <si>
    <t>Strength 1</t>
  </si>
  <si>
    <t>Strength 2</t>
  </si>
  <si>
    <t>Strength 3</t>
  </si>
  <si>
    <t>RISKS &amp; CONCERNS</t>
  </si>
  <si>
    <t>Risk 1</t>
  </si>
  <si>
    <t>Risk 2</t>
  </si>
  <si>
    <t>Risk 3</t>
  </si>
  <si>
    <t>INVESTMENT THESIS</t>
  </si>
  <si>
    <t>RELIANCE INDUSTRIES — KEY FINDINGS\</t>
  </si>
  <si>
    <t>Oil &amp; Gas, Telecom, Retail, New Energy</t>
  </si>
  <si>
    <t>~2,36,334</t>
  </si>
  <si>
    <t>Mukesh Ambani</t>
  </si>
  <si>
    <t>EBITDA expanded from ₹1,07,362 Cr to ₹2,18,734 Cr. A 4Y CAGR of ~19% reflecting strong operational growth</t>
  </si>
  <si>
    <t>Operating Cash Flow margin expanded from 5.8% to 18.6%, core business cash generation tripled over 5 years</t>
  </si>
  <si>
    <t>ROCE improved from 9% to 11% despite heavy capex, capital deployed productively across all segments</t>
  </si>
  <si>
    <t>Reliance Industries represents a unique convergence of energy, digital and consumer businesses under one roof. The company is transitioning from a commodity-driven O2C business to high-margin consumer-facing segments (Jio + Retail) while simultaneously investing in New Energy for long-term growth. With improving FCF, rising ROCE and strong cash generation. Reliance is well positioned for sustainable value creation over the next decade. Key risks include margin volatility in O2C and rising debt levels from ongoing capex commitments.</t>
  </si>
  <si>
    <t>Unmatched scale - largest Indian company by revenue and market cap with diversified business across 4 segments</t>
  </si>
  <si>
    <t>Margin compression - OPM declined from 17.3% to 17.2% with significant intra-period volatility driven by commodity price cycles in O2C segment</t>
  </si>
  <si>
    <t>Rising debt - Borrowings increased from ₹2,78,962 Cr to ₹3,74,313 Cr, interest costs rising alongside capex</t>
  </si>
  <si>
    <t>Regulatory risk - Jio operates in heavily regulated telecom sector subject to spectrum pricing and interconnect policy changes</t>
  </si>
  <si>
    <t>Negative working capital advantage - retail and telecom businesses collect cash before paying suppliers providing free funding of ₹2,86,619 Cr</t>
  </si>
  <si>
    <t>Strong cash generation - Operating CF grew 6.6x from ₹26,958 Cr to ₹1,78,703 Cr over 5 years</t>
  </si>
  <si>
    <t>FCF turned positive from FY2022 onwards after heavy investment phase. FY2025 FCF of ₹41,168 Cr signals investment maturity</t>
  </si>
  <si>
    <t>Revenue grew at 19.8% CAGR from ₹4,66,307 Cr (FY2021) to ₹9,62,820 Cr (FY2025) — doubling in 4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</si>
</sst>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9" formatCode="0.0%"/>
  </numFmts>
  <fonts count="26">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24"/>
      <color theme="0"/>
      <name val="Arial"/>
      <family val="2"/>
    </font>
    <font>
      <sz val="14"/>
      <color theme="0"/>
      <name val="Calibri"/>
      <family val="2"/>
      <scheme val="minor"/>
    </font>
    <font>
      <b/>
      <sz val="11"/>
      <color rgb="FF1F3864"/>
      <name val="Calibri"/>
      <family val="2"/>
      <scheme val="minor"/>
    </font>
    <font>
      <i/>
      <sz val="9"/>
      <color theme="1"/>
      <name val="Arial"/>
      <family val="2"/>
    </font>
    <font>
      <sz val="11"/>
      <color theme="0"/>
      <name val="Arial"/>
      <family val="2"/>
    </font>
    <font>
      <sz val="8"/>
      <name val="Calibri"/>
      <family val="2"/>
      <scheme val="minor"/>
    </font>
    <font>
      <b/>
      <sz val="10"/>
      <color theme="0"/>
      <name val="Arial"/>
      <family val="2"/>
    </font>
    <font>
      <b/>
      <sz val="15"/>
      <color theme="0"/>
      <name val="Arial"/>
      <family val="2"/>
    </font>
    <font>
      <b/>
      <sz val="15"/>
      <color theme="0"/>
      <name val="Calibri"/>
      <family val="2"/>
      <scheme val="minor"/>
    </font>
    <font>
      <sz val="11"/>
      <color rgb="FF1F3864"/>
      <name val="Calibri"/>
      <family val="2"/>
      <scheme val="minor"/>
    </font>
    <font>
      <sz val="11"/>
      <color rgb="FF00B050"/>
      <name val="Calibri"/>
      <family val="2"/>
      <scheme val="minor"/>
    </font>
    <font>
      <b/>
      <sz val="14"/>
      <color theme="0"/>
      <name val="Arial"/>
      <family val="2"/>
    </font>
    <font>
      <b/>
      <sz val="18"/>
      <color theme="1"/>
      <name val="Arial"/>
      <family val="2"/>
    </font>
    <font>
      <sz val="10"/>
      <color theme="1"/>
      <name val="Arial Unicode MS"/>
    </font>
    <font>
      <b/>
      <sz val="14"/>
      <color rgb="FFF2F4F8"/>
      <name val="Arial"/>
      <family val="2"/>
    </font>
    <font>
      <sz val="12"/>
      <color theme="0"/>
      <name val="Calibri"/>
      <family val="2"/>
      <scheme val="minor"/>
    </font>
    <font>
      <b/>
      <sz val="16"/>
      <color theme="0"/>
      <name val="Arial"/>
      <family val="2"/>
    </font>
    <font>
      <sz val="11"/>
      <color rgb="FF595959"/>
      <name val="Calibri"/>
      <family val="2"/>
      <scheme val="minor"/>
    </font>
    <font>
      <b/>
      <sz val="10"/>
      <color theme="1"/>
      <name val="Arial"/>
      <family val="2"/>
    </font>
    <font>
      <b/>
      <sz val="11"/>
      <color theme="0"/>
      <name val="Arial"/>
      <family val="2"/>
    </font>
    <font>
      <b/>
      <sz val="11"/>
      <color rgb="FFF2F4F8"/>
      <name val="Arial"/>
      <family val="2"/>
    </font>
  </fonts>
  <fills count="11">
    <fill>
      <patternFill patternType="none"/>
    </fill>
    <fill>
      <patternFill patternType="gray125"/>
    </fill>
    <fill>
      <patternFill patternType="solid">
        <fgColor rgb="FF1F3864"/>
        <bgColor indexed="64"/>
      </patternFill>
    </fill>
    <fill>
      <patternFill patternType="solid">
        <fgColor rgb="FF2E75B6"/>
        <bgColor indexed="64"/>
      </patternFill>
    </fill>
    <fill>
      <patternFill patternType="solid">
        <fgColor rgb="FFD6E4F7"/>
        <bgColor indexed="64"/>
      </patternFill>
    </fill>
    <fill>
      <patternFill patternType="solid">
        <fgColor rgb="FFF2F4F8"/>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00206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43" fontId="1" fillId="0" borderId="0" applyFont="0" applyFill="0" applyBorder="0" applyAlignment="0" applyProtection="0"/>
  </cellStyleXfs>
  <cellXfs count="72">
    <xf numFmtId="0" fontId="0" fillId="0" borderId="0" xfId="0"/>
    <xf numFmtId="0" fontId="0" fillId="0" borderId="0" xfId="0"/>
    <xf numFmtId="0" fontId="0" fillId="0" borderId="0" xfId="0" applyAlignment="1">
      <alignment horizontal="center"/>
    </xf>
    <xf numFmtId="0" fontId="5" fillId="2" borderId="0" xfId="0" applyFont="1" applyFill="1" applyAlignment="1">
      <alignment horizontal="center"/>
    </xf>
    <xf numFmtId="0" fontId="6" fillId="3" borderId="0" xfId="0" applyFont="1" applyFill="1" applyAlignment="1">
      <alignment horizontal="center"/>
    </xf>
    <xf numFmtId="0" fontId="7" fillId="0" borderId="0" xfId="0" applyFont="1"/>
    <xf numFmtId="0" fontId="0" fillId="0" borderId="0" xfId="0" applyAlignment="1">
      <alignment horizontal="left"/>
    </xf>
    <xf numFmtId="17" fontId="0" fillId="0" borderId="0" xfId="0" applyNumberFormat="1" applyAlignment="1">
      <alignment horizontal="left"/>
    </xf>
    <xf numFmtId="0" fontId="7" fillId="4" borderId="0" xfId="0" applyFont="1" applyFill="1"/>
    <xf numFmtId="0" fontId="0" fillId="4" borderId="0" xfId="0" applyFill="1" applyAlignment="1">
      <alignment horizontal="left"/>
    </xf>
    <xf numFmtId="0" fontId="8" fillId="0" borderId="0" xfId="0" applyFont="1"/>
    <xf numFmtId="0" fontId="0" fillId="0" borderId="0" xfId="0" applyAlignment="1">
      <alignment wrapText="1"/>
    </xf>
    <xf numFmtId="0" fontId="9" fillId="3" borderId="0" xfId="0" applyFont="1" applyFill="1" applyAlignment="1">
      <alignment horizontal="center" wrapText="1"/>
    </xf>
    <xf numFmtId="0" fontId="11" fillId="3" borderId="0" xfId="0" applyFont="1" applyFill="1" applyAlignment="1">
      <alignment horizontal="center"/>
    </xf>
    <xf numFmtId="0" fontId="2" fillId="2" borderId="0" xfId="0" applyFont="1" applyFill="1" applyAlignment="1">
      <alignment horizontal="center"/>
    </xf>
    <xf numFmtId="0" fontId="12" fillId="2" borderId="0" xfId="0" applyFont="1" applyFill="1" applyAlignment="1">
      <alignment horizontal="center"/>
    </xf>
    <xf numFmtId="0" fontId="13" fillId="2" borderId="0" xfId="0" applyFont="1" applyFill="1" applyAlignment="1">
      <alignment horizontal="center"/>
    </xf>
    <xf numFmtId="10" fontId="0" fillId="0" borderId="0" xfId="0" applyNumberFormat="1"/>
    <xf numFmtId="0" fontId="0" fillId="0" borderId="0" xfId="0" applyFill="1"/>
    <xf numFmtId="0" fontId="14" fillId="0" borderId="0" xfId="0" applyFont="1" applyFill="1"/>
    <xf numFmtId="0" fontId="14" fillId="0" borderId="0" xfId="0" applyFont="1"/>
    <xf numFmtId="0" fontId="0" fillId="0" borderId="0" xfId="0" applyFont="1" applyFill="1"/>
    <xf numFmtId="0" fontId="0" fillId="0" borderId="0" xfId="0" applyFont="1"/>
    <xf numFmtId="10" fontId="0" fillId="0" borderId="0" xfId="0" applyNumberFormat="1" applyAlignment="1">
      <alignment horizontal="center"/>
    </xf>
    <xf numFmtId="10" fontId="0" fillId="0" borderId="0" xfId="0" applyNumberFormat="1" applyFont="1"/>
    <xf numFmtId="10" fontId="0" fillId="0" borderId="0" xfId="0" applyNumberFormat="1" applyFont="1" applyFill="1"/>
    <xf numFmtId="0" fontId="4" fillId="3" borderId="0" xfId="0" applyFont="1" applyFill="1" applyAlignment="1">
      <alignment horizontal="center"/>
    </xf>
    <xf numFmtId="0" fontId="2" fillId="3" borderId="0" xfId="0" applyFont="1" applyFill="1" applyAlignment="1">
      <alignment horizontal="center"/>
    </xf>
    <xf numFmtId="4" fontId="14" fillId="0" borderId="0" xfId="0" applyNumberFormat="1" applyFont="1" applyFill="1"/>
    <xf numFmtId="4" fontId="0" fillId="0" borderId="0" xfId="0" applyNumberFormat="1" applyFont="1" applyFill="1"/>
    <xf numFmtId="4" fontId="14" fillId="0" borderId="0" xfId="0" applyNumberFormat="1" applyFont="1"/>
    <xf numFmtId="4" fontId="0" fillId="0" borderId="0" xfId="0" applyNumberFormat="1" applyFont="1"/>
    <xf numFmtId="4" fontId="0" fillId="0" borderId="0" xfId="0" applyNumberFormat="1"/>
    <xf numFmtId="4" fontId="0" fillId="0" borderId="0" xfId="1" applyNumberFormat="1" applyFont="1" applyBorder="1" applyAlignment="1">
      <alignment horizontal="center"/>
    </xf>
    <xf numFmtId="43" fontId="0" fillId="0" borderId="0" xfId="1" applyFont="1" applyBorder="1"/>
    <xf numFmtId="169" fontId="0" fillId="0" borderId="0" xfId="0" applyNumberFormat="1"/>
    <xf numFmtId="0" fontId="15" fillId="0" borderId="0" xfId="0" applyFont="1"/>
    <xf numFmtId="169" fontId="15" fillId="0" borderId="0" xfId="0" applyNumberFormat="1" applyFont="1"/>
    <xf numFmtId="0" fontId="0" fillId="5" borderId="0" xfId="0" applyFill="1"/>
    <xf numFmtId="4" fontId="17" fillId="5" borderId="1" xfId="0" applyNumberFormat="1" applyFont="1" applyFill="1" applyBorder="1" applyAlignment="1">
      <alignment horizontal="center"/>
    </xf>
    <xf numFmtId="10" fontId="17" fillId="5" borderId="1" xfId="0" applyNumberFormat="1" applyFont="1" applyFill="1" applyBorder="1" applyAlignment="1">
      <alignment horizontal="center"/>
    </xf>
    <xf numFmtId="169" fontId="17" fillId="5" borderId="1" xfId="0" applyNumberFormat="1" applyFont="1" applyFill="1" applyBorder="1" applyAlignment="1">
      <alignment horizontal="center"/>
    </xf>
    <xf numFmtId="0" fontId="3" fillId="5" borderId="0" xfId="0" applyFont="1" applyFill="1" applyAlignment="1">
      <alignment horizontal="center" vertical="center" wrapText="1"/>
    </xf>
    <xf numFmtId="0" fontId="0" fillId="5" borderId="0" xfId="0" applyFill="1" applyAlignment="1">
      <alignment vertical="center" wrapText="1"/>
    </xf>
    <xf numFmtId="4" fontId="18" fillId="5" borderId="0" xfId="0" applyNumberFormat="1" applyFont="1" applyFill="1" applyAlignment="1">
      <alignment vertical="center" wrapText="1"/>
    </xf>
    <xf numFmtId="10" fontId="18" fillId="5" borderId="0" xfId="0" applyNumberFormat="1" applyFont="1" applyFill="1" applyAlignment="1">
      <alignment vertical="center" wrapText="1"/>
    </xf>
    <xf numFmtId="0" fontId="18" fillId="5" borderId="0" xfId="0" applyFont="1" applyFill="1" applyAlignment="1">
      <alignment vertical="center" wrapText="1"/>
    </xf>
    <xf numFmtId="4" fontId="0" fillId="5" borderId="0" xfId="0" applyNumberFormat="1" applyFill="1"/>
    <xf numFmtId="0" fontId="19" fillId="6" borderId="1" xfId="0" applyFont="1" applyFill="1" applyBorder="1" applyAlignment="1">
      <alignment horizontal="center"/>
    </xf>
    <xf numFmtId="0" fontId="16" fillId="7" borderId="1" xfId="0" applyFont="1" applyFill="1" applyBorder="1"/>
    <xf numFmtId="0" fontId="16" fillId="8" borderId="1" xfId="0" applyFont="1" applyFill="1" applyBorder="1"/>
    <xf numFmtId="0" fontId="16" fillId="9" borderId="1" xfId="0" applyFont="1" applyFill="1" applyBorder="1"/>
    <xf numFmtId="0" fontId="20" fillId="0" borderId="2" xfId="0" applyFont="1" applyFill="1" applyBorder="1" applyAlignment="1">
      <alignment horizontal="center"/>
    </xf>
    <xf numFmtId="0" fontId="20" fillId="0" borderId="0" xfId="0" applyFont="1" applyFill="1" applyBorder="1" applyAlignment="1">
      <alignment horizontal="center"/>
    </xf>
    <xf numFmtId="0" fontId="20" fillId="0" borderId="3" xfId="0" applyFont="1" applyFill="1" applyBorder="1" applyAlignment="1">
      <alignment horizontal="center"/>
    </xf>
    <xf numFmtId="0" fontId="0" fillId="5" borderId="0" xfId="0" applyFill="1" applyBorder="1"/>
    <xf numFmtId="0" fontId="0" fillId="5" borderId="2" xfId="0" applyFill="1" applyBorder="1"/>
    <xf numFmtId="0" fontId="0" fillId="5" borderId="3" xfId="0" applyFill="1" applyBorder="1"/>
    <xf numFmtId="0" fontId="21" fillId="10" borderId="1" xfId="0" applyFont="1" applyFill="1" applyBorder="1" applyAlignment="1">
      <alignment horizontal="center"/>
    </xf>
    <xf numFmtId="0" fontId="20" fillId="3" borderId="1" xfId="0" applyFont="1" applyFill="1" applyBorder="1" applyAlignment="1">
      <alignment horizontal="center"/>
    </xf>
    <xf numFmtId="0" fontId="22" fillId="5" borderId="1" xfId="0" applyFont="1" applyFill="1" applyBorder="1" applyAlignment="1">
      <alignment horizontal="center"/>
    </xf>
    <xf numFmtId="0" fontId="23" fillId="0" borderId="0" xfId="0" applyFont="1" applyFill="1" applyAlignment="1">
      <alignment horizontal="center"/>
    </xf>
    <xf numFmtId="0" fontId="24" fillId="2" borderId="0" xfId="0" applyFont="1" applyFill="1" applyAlignment="1">
      <alignment horizontal="center"/>
    </xf>
    <xf numFmtId="0" fontId="25" fillId="2" borderId="0" xfId="0" applyFont="1" applyFill="1" applyAlignment="1">
      <alignment horizontal="center"/>
    </xf>
    <xf numFmtId="0" fontId="0" fillId="0" borderId="2" xfId="0" applyBorder="1"/>
    <xf numFmtId="0" fontId="0" fillId="0" borderId="0" xfId="0" applyBorder="1"/>
    <xf numFmtId="0" fontId="0" fillId="0" borderId="2" xfId="0" applyBorder="1" applyAlignment="1">
      <alignment horizontal="left"/>
    </xf>
    <xf numFmtId="0" fontId="0" fillId="0" borderId="0" xfId="0" applyBorder="1" applyAlignment="1">
      <alignment horizontal="left"/>
    </xf>
    <xf numFmtId="4" fontId="0" fillId="0" borderId="2" xfId="0" applyNumberFormat="1" applyBorder="1" applyAlignment="1">
      <alignment horizontal="left"/>
    </xf>
    <xf numFmtId="0" fontId="0" fillId="0" borderId="2" xfId="0" applyBorder="1" applyAlignment="1">
      <alignment horizontal="left" wrapText="1"/>
    </xf>
    <xf numFmtId="4" fontId="15" fillId="0" borderId="0" xfId="0" applyNumberFormat="1" applyFont="1"/>
    <xf numFmtId="43" fontId="15" fillId="0" borderId="0" xfId="0" applyNumberFormat="1" applyFont="1"/>
  </cellXfs>
  <cellStyles count="2">
    <cellStyle name="Comma" xfId="1" builtinId="3"/>
    <cellStyle name="Normal" xfId="0" builtinId="0"/>
  </cellStyles>
  <dxfs count="0"/>
  <tableStyles count="0" defaultTableStyle="TableStyleMedium2" defaultPivotStyle="PivotStyleLight16"/>
  <colors>
    <mruColors>
      <color rgb="FF00B050"/>
      <color rgb="FFF2F4F8"/>
      <color rgb="FF1F3864"/>
      <color rgb="FF2E75B6"/>
      <color rgb="FF595959"/>
      <color rgb="FFFF8C00"/>
      <color rgb="FFD6E4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EBITDA &amp; Net Profit Trend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3505385616065008"/>
          <c:y val="0.25121706758304696"/>
          <c:w val="0.73222363075034469"/>
          <c:h val="0.4046149353753461"/>
        </c:manualLayout>
      </c:layout>
      <c:lineChart>
        <c:grouping val="standard"/>
        <c:varyColors val="0"/>
        <c:ser>
          <c:idx val="0"/>
          <c:order val="0"/>
          <c:tx>
            <c:strRef>
              <c:f>DashBoard!$U$7</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DashBoard!$V$6:$Z$6</c:f>
              <c:strCache>
                <c:ptCount val="5"/>
                <c:pt idx="0">
                  <c:v>FY2021</c:v>
                </c:pt>
                <c:pt idx="1">
                  <c:v>FY2022</c:v>
                </c:pt>
                <c:pt idx="2">
                  <c:v>FY2023</c:v>
                </c:pt>
                <c:pt idx="3">
                  <c:v>FY2024</c:v>
                </c:pt>
                <c:pt idx="4">
                  <c:v>FY2025</c:v>
                </c:pt>
              </c:strCache>
            </c:strRef>
          </c:cat>
          <c:val>
            <c:numRef>
              <c:f>DashBoard!$V$7:$Z$7</c:f>
              <c:numCache>
                <c:formatCode>#,##0.00</c:formatCode>
                <c:ptCount val="5"/>
                <c:pt idx="0">
                  <c:v>466307</c:v>
                </c:pt>
                <c:pt idx="1">
                  <c:v>694673</c:v>
                </c:pt>
                <c:pt idx="2">
                  <c:v>876396</c:v>
                </c:pt>
                <c:pt idx="3">
                  <c:v>899041</c:v>
                </c:pt>
                <c:pt idx="4">
                  <c:v>962820</c:v>
                </c:pt>
              </c:numCache>
            </c:numRef>
          </c:val>
          <c:smooth val="0"/>
          <c:extLst>
            <c:ext xmlns:c16="http://schemas.microsoft.com/office/drawing/2014/chart" uri="{C3380CC4-5D6E-409C-BE32-E72D297353CC}">
              <c16:uniqueId val="{00000000-15E3-4C8B-9AAF-A50C33636C1D}"/>
            </c:ext>
          </c:extLst>
        </c:ser>
        <c:ser>
          <c:idx val="1"/>
          <c:order val="1"/>
          <c:tx>
            <c:strRef>
              <c:f>DashBoard!$U$8</c:f>
              <c:strCache>
                <c:ptCount val="1"/>
                <c:pt idx="0">
                  <c:v>EBITDA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DashBoard!$V$6:$Z$6</c:f>
              <c:strCache>
                <c:ptCount val="5"/>
                <c:pt idx="0">
                  <c:v>FY2021</c:v>
                </c:pt>
                <c:pt idx="1">
                  <c:v>FY2022</c:v>
                </c:pt>
                <c:pt idx="2">
                  <c:v>FY2023</c:v>
                </c:pt>
                <c:pt idx="3">
                  <c:v>FY2024</c:v>
                </c:pt>
                <c:pt idx="4">
                  <c:v>FY2025</c:v>
                </c:pt>
              </c:strCache>
            </c:strRef>
          </c:cat>
          <c:val>
            <c:numRef>
              <c:f>DashBoard!$V$8:$Z$8</c:f>
              <c:numCache>
                <c:formatCode>#,##0.00</c:formatCode>
                <c:ptCount val="5"/>
                <c:pt idx="0">
                  <c:v>107362</c:v>
                </c:pt>
                <c:pt idx="1">
                  <c:v>138363</c:v>
                </c:pt>
                <c:pt idx="2">
                  <c:v>182621</c:v>
                </c:pt>
                <c:pt idx="3">
                  <c:v>213330</c:v>
                </c:pt>
                <c:pt idx="4">
                  <c:v>218734</c:v>
                </c:pt>
              </c:numCache>
            </c:numRef>
          </c:val>
          <c:smooth val="0"/>
          <c:extLst>
            <c:ext xmlns:c16="http://schemas.microsoft.com/office/drawing/2014/chart" uri="{C3380CC4-5D6E-409C-BE32-E72D297353CC}">
              <c16:uniqueId val="{00000001-15E3-4C8B-9AAF-A50C33636C1D}"/>
            </c:ext>
          </c:extLst>
        </c:ser>
        <c:ser>
          <c:idx val="2"/>
          <c:order val="2"/>
          <c:tx>
            <c:strRef>
              <c:f>DashBoard!$U$9</c:f>
              <c:strCache>
                <c:ptCount val="1"/>
                <c:pt idx="0">
                  <c:v>Net Profit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DashBoard!$V$6:$Z$6</c:f>
              <c:strCache>
                <c:ptCount val="5"/>
                <c:pt idx="0">
                  <c:v>FY2021</c:v>
                </c:pt>
                <c:pt idx="1">
                  <c:v>FY2022</c:v>
                </c:pt>
                <c:pt idx="2">
                  <c:v>FY2023</c:v>
                </c:pt>
                <c:pt idx="3">
                  <c:v>FY2024</c:v>
                </c:pt>
                <c:pt idx="4">
                  <c:v>FY2025</c:v>
                </c:pt>
              </c:strCache>
            </c:strRef>
          </c:cat>
          <c:val>
            <c:numRef>
              <c:f>DashBoard!$V$9:$Z$9</c:f>
              <c:numCache>
                <c:formatCode>#,##0.00</c:formatCode>
                <c:ptCount val="5"/>
                <c:pt idx="0">
                  <c:v>49128</c:v>
                </c:pt>
                <c:pt idx="1">
                  <c:v>60705</c:v>
                </c:pt>
                <c:pt idx="2">
                  <c:v>66702</c:v>
                </c:pt>
                <c:pt idx="3">
                  <c:v>69621</c:v>
                </c:pt>
                <c:pt idx="4">
                  <c:v>69648</c:v>
                </c:pt>
              </c:numCache>
            </c:numRef>
          </c:val>
          <c:smooth val="0"/>
          <c:extLst>
            <c:ext xmlns:c16="http://schemas.microsoft.com/office/drawing/2014/chart" uri="{C3380CC4-5D6E-409C-BE32-E72D297353CC}">
              <c16:uniqueId val="{00000002-15E3-4C8B-9AAF-A50C33636C1D}"/>
            </c:ext>
          </c:extLst>
        </c:ser>
        <c:dLbls>
          <c:showLegendKey val="0"/>
          <c:showVal val="0"/>
          <c:showCatName val="0"/>
          <c:showSerName val="0"/>
          <c:showPercent val="0"/>
          <c:showBubbleSize val="0"/>
        </c:dLbls>
        <c:marker val="1"/>
        <c:smooth val="0"/>
        <c:axId val="1524728192"/>
        <c:axId val="1524728672"/>
      </c:lineChart>
      <c:catAx>
        <c:axId val="152472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728672"/>
        <c:crosses val="autoZero"/>
        <c:auto val="1"/>
        <c:lblAlgn val="ctr"/>
        <c:lblOffset val="100"/>
        <c:noMultiLvlLbl val="0"/>
      </c:catAx>
      <c:valAx>
        <c:axId val="1524728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728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Margin Trends FY2021-FY2025</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DashBoard!$U$12</c:f>
              <c:strCache>
                <c:ptCount val="1"/>
                <c:pt idx="0">
                  <c:v>OPM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DashBoard!$V$11:$Z$11</c:f>
              <c:strCache>
                <c:ptCount val="5"/>
                <c:pt idx="0">
                  <c:v>FY2021</c:v>
                </c:pt>
                <c:pt idx="1">
                  <c:v>FY2022</c:v>
                </c:pt>
                <c:pt idx="2">
                  <c:v>FY2023</c:v>
                </c:pt>
                <c:pt idx="3">
                  <c:v>FY2024</c:v>
                </c:pt>
                <c:pt idx="4">
                  <c:v>FY2025</c:v>
                </c:pt>
              </c:strCache>
            </c:strRef>
          </c:cat>
          <c:val>
            <c:numRef>
              <c:f>DashBoard!$V$12:$Z$12</c:f>
              <c:numCache>
                <c:formatCode>0.00%</c:formatCode>
                <c:ptCount val="5"/>
                <c:pt idx="0">
                  <c:v>0.17325495864312568</c:v>
                </c:pt>
                <c:pt idx="1">
                  <c:v>0.15630519683361813</c:v>
                </c:pt>
                <c:pt idx="2">
                  <c:v>0.16239006111392568</c:v>
                </c:pt>
                <c:pt idx="3">
                  <c:v>0.18074592816122959</c:v>
                </c:pt>
                <c:pt idx="4">
                  <c:v>0.17199268814524002</c:v>
                </c:pt>
              </c:numCache>
            </c:numRef>
          </c:val>
          <c:smooth val="0"/>
          <c:extLst>
            <c:ext xmlns:c16="http://schemas.microsoft.com/office/drawing/2014/chart" uri="{C3380CC4-5D6E-409C-BE32-E72D297353CC}">
              <c16:uniqueId val="{00000000-6119-43BD-BA4E-55308927003F}"/>
            </c:ext>
          </c:extLst>
        </c:ser>
        <c:ser>
          <c:idx val="1"/>
          <c:order val="1"/>
          <c:tx>
            <c:strRef>
              <c:f>DashBoard!$U$13</c:f>
              <c:strCache>
                <c:ptCount val="1"/>
                <c:pt idx="0">
                  <c:v>Net Margin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DashBoard!$V$11:$Z$11</c:f>
              <c:strCache>
                <c:ptCount val="5"/>
                <c:pt idx="0">
                  <c:v>FY2021</c:v>
                </c:pt>
                <c:pt idx="1">
                  <c:v>FY2022</c:v>
                </c:pt>
                <c:pt idx="2">
                  <c:v>FY2023</c:v>
                </c:pt>
                <c:pt idx="3">
                  <c:v>FY2024</c:v>
                </c:pt>
                <c:pt idx="4">
                  <c:v>FY2025</c:v>
                </c:pt>
              </c:strCache>
            </c:strRef>
          </c:cat>
          <c:val>
            <c:numRef>
              <c:f>DashBoard!$V$13:$Z$13</c:f>
              <c:numCache>
                <c:formatCode>0.00%</c:formatCode>
                <c:ptCount val="5"/>
                <c:pt idx="0">
                  <c:v>0.10051990939949544</c:v>
                </c:pt>
                <c:pt idx="1">
                  <c:v>8.4988512795527757E-2</c:v>
                </c:pt>
                <c:pt idx="2">
                  <c:v>7.5079692396354855E-2</c:v>
                </c:pt>
                <c:pt idx="3">
                  <c:v>7.6102414320427886E-2</c:v>
                </c:pt>
                <c:pt idx="4">
                  <c:v>7.1022715684794888E-2</c:v>
                </c:pt>
              </c:numCache>
            </c:numRef>
          </c:val>
          <c:smooth val="0"/>
          <c:extLst>
            <c:ext xmlns:c16="http://schemas.microsoft.com/office/drawing/2014/chart" uri="{C3380CC4-5D6E-409C-BE32-E72D297353CC}">
              <c16:uniqueId val="{00000001-6119-43BD-BA4E-55308927003F}"/>
            </c:ext>
          </c:extLst>
        </c:ser>
        <c:ser>
          <c:idx val="2"/>
          <c:order val="2"/>
          <c:tx>
            <c:strRef>
              <c:f>DashBoard!$U$14</c:f>
              <c:strCache>
                <c:ptCount val="1"/>
                <c:pt idx="0">
                  <c:v>EBITDA Margin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DashBoard!$V$11:$Z$11</c:f>
              <c:strCache>
                <c:ptCount val="5"/>
                <c:pt idx="0">
                  <c:v>FY2021</c:v>
                </c:pt>
                <c:pt idx="1">
                  <c:v>FY2022</c:v>
                </c:pt>
                <c:pt idx="2">
                  <c:v>FY2023</c:v>
                </c:pt>
                <c:pt idx="3">
                  <c:v>FY2024</c:v>
                </c:pt>
                <c:pt idx="4">
                  <c:v>FY2025</c:v>
                </c:pt>
              </c:strCache>
            </c:strRef>
          </c:cat>
          <c:val>
            <c:numRef>
              <c:f>DashBoard!$V$14:$Z$14</c:f>
              <c:numCache>
                <c:formatCode>General</c:formatCode>
                <c:ptCount val="5"/>
                <c:pt idx="0">
                  <c:v>0.2302388769630308</c:v>
                </c:pt>
                <c:pt idx="1">
                  <c:v>0.1991771668108592</c:v>
                </c:pt>
                <c:pt idx="2">
                  <c:v>0.20837726324629505</c:v>
                </c:pt>
                <c:pt idx="3">
                  <c:v>0.23728617493529217</c:v>
                </c:pt>
                <c:pt idx="4">
                  <c:v>0.22718057373133088</c:v>
                </c:pt>
              </c:numCache>
            </c:numRef>
          </c:val>
          <c:smooth val="0"/>
          <c:extLst>
            <c:ext xmlns:c16="http://schemas.microsoft.com/office/drawing/2014/chart" uri="{C3380CC4-5D6E-409C-BE32-E72D297353CC}">
              <c16:uniqueId val="{00000002-6119-43BD-BA4E-55308927003F}"/>
            </c:ext>
          </c:extLst>
        </c:ser>
        <c:dLbls>
          <c:showLegendKey val="0"/>
          <c:showVal val="0"/>
          <c:showCatName val="0"/>
          <c:showSerName val="0"/>
          <c:showPercent val="0"/>
          <c:showBubbleSize val="0"/>
        </c:dLbls>
        <c:marker val="1"/>
        <c:smooth val="0"/>
        <c:axId val="1524678752"/>
        <c:axId val="1524695552"/>
      </c:lineChart>
      <c:catAx>
        <c:axId val="152467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695552"/>
        <c:crosses val="autoZero"/>
        <c:auto val="1"/>
        <c:lblAlgn val="ctr"/>
        <c:lblOffset val="100"/>
        <c:noMultiLvlLbl val="0"/>
      </c:catAx>
      <c:valAx>
        <c:axId val="15246955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678752"/>
        <c:crosses val="autoZero"/>
        <c:crossBetween val="between"/>
      </c:valAx>
      <c:spPr>
        <a:noFill/>
        <a:ln>
          <a:noFill/>
          <a:prstDash val="sysDot"/>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Return Ratios FY2021-FY2025</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DashBoard!$X$17</c:f>
              <c:strCache>
                <c:ptCount val="1"/>
                <c:pt idx="0">
                  <c:v>ROE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DashBoard!$Y$16:$AC$16</c:f>
              <c:strCache>
                <c:ptCount val="5"/>
                <c:pt idx="0">
                  <c:v>FY2021</c:v>
                </c:pt>
                <c:pt idx="1">
                  <c:v>FY2022</c:v>
                </c:pt>
                <c:pt idx="2">
                  <c:v>FY2023</c:v>
                </c:pt>
                <c:pt idx="3">
                  <c:v>FY2024</c:v>
                </c:pt>
                <c:pt idx="4">
                  <c:v>FY2025</c:v>
                </c:pt>
              </c:strCache>
            </c:strRef>
          </c:cat>
          <c:val>
            <c:numRef>
              <c:f>DashBoard!$Y$17:$AC$17</c:f>
              <c:numCache>
                <c:formatCode>General</c:formatCode>
                <c:ptCount val="5"/>
                <c:pt idx="0">
                  <c:v>5.0174950517498117E-2</c:v>
                </c:pt>
                <c:pt idx="1">
                  <c:v>7.787834275194519E-2</c:v>
                </c:pt>
                <c:pt idx="2">
                  <c:v>9.3175875016762777E-2</c:v>
                </c:pt>
                <c:pt idx="3">
                  <c:v>8.7741231359036956E-2</c:v>
                </c:pt>
                <c:pt idx="4">
                  <c:v>8.259962049335863E-2</c:v>
                </c:pt>
              </c:numCache>
            </c:numRef>
          </c:val>
          <c:smooth val="0"/>
          <c:extLst>
            <c:ext xmlns:c16="http://schemas.microsoft.com/office/drawing/2014/chart" uri="{C3380CC4-5D6E-409C-BE32-E72D297353CC}">
              <c16:uniqueId val="{00000000-BDFC-4F3E-A412-2D270B5FC603}"/>
            </c:ext>
          </c:extLst>
        </c:ser>
        <c:ser>
          <c:idx val="1"/>
          <c:order val="1"/>
          <c:tx>
            <c:strRef>
              <c:f>DashBoard!$X$18</c:f>
              <c:strCache>
                <c:ptCount val="1"/>
                <c:pt idx="0">
                  <c:v>ROCE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DashBoard!$Y$16:$AC$16</c:f>
              <c:strCache>
                <c:ptCount val="5"/>
                <c:pt idx="0">
                  <c:v>FY2021</c:v>
                </c:pt>
                <c:pt idx="1">
                  <c:v>FY2022</c:v>
                </c:pt>
                <c:pt idx="2">
                  <c:v>FY2023</c:v>
                </c:pt>
                <c:pt idx="3">
                  <c:v>FY2024</c:v>
                </c:pt>
                <c:pt idx="4">
                  <c:v>FY2025</c:v>
                </c:pt>
              </c:strCache>
            </c:strRef>
          </c:cat>
          <c:val>
            <c:numRef>
              <c:f>DashBoard!$Y$18:$AC$18</c:f>
              <c:numCache>
                <c:formatCode>General</c:formatCode>
                <c:ptCount val="5"/>
                <c:pt idx="0">
                  <c:v>0.11538593374199482</c:v>
                </c:pt>
                <c:pt idx="1">
                  <c:v>0.13929838290666274</c:v>
                </c:pt>
                <c:pt idx="2">
                  <c:v>0.19880369675025703</c:v>
                </c:pt>
                <c:pt idx="3">
                  <c:v>0.20479129304923496</c:v>
                </c:pt>
                <c:pt idx="4">
                  <c:v>0.19639231499051232</c:v>
                </c:pt>
              </c:numCache>
            </c:numRef>
          </c:val>
          <c:smooth val="0"/>
          <c:extLst>
            <c:ext xmlns:c16="http://schemas.microsoft.com/office/drawing/2014/chart" uri="{C3380CC4-5D6E-409C-BE32-E72D297353CC}">
              <c16:uniqueId val="{00000001-BDFC-4F3E-A412-2D270B5FC603}"/>
            </c:ext>
          </c:extLst>
        </c:ser>
        <c:ser>
          <c:idx val="2"/>
          <c:order val="2"/>
          <c:tx>
            <c:strRef>
              <c:f>DashBoard!$X$19</c:f>
              <c:strCache>
                <c:ptCount val="1"/>
                <c:pt idx="0">
                  <c:v>ROA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DashBoard!$Y$16:$AC$16</c:f>
              <c:strCache>
                <c:ptCount val="5"/>
                <c:pt idx="0">
                  <c:v>FY2021</c:v>
                </c:pt>
                <c:pt idx="1">
                  <c:v>FY2022</c:v>
                </c:pt>
                <c:pt idx="2">
                  <c:v>FY2023</c:v>
                </c:pt>
                <c:pt idx="3">
                  <c:v>FY2024</c:v>
                </c:pt>
                <c:pt idx="4">
                  <c:v>FY2025</c:v>
                </c:pt>
              </c:strCache>
            </c:strRef>
          </c:cat>
          <c:val>
            <c:numRef>
              <c:f>DashBoard!$Y$19:$AC$19</c:f>
              <c:numCache>
                <c:formatCode>General</c:formatCode>
                <c:ptCount val="5"/>
                <c:pt idx="0">
                  <c:v>0.21819077090900826</c:v>
                </c:pt>
                <c:pt idx="1">
                  <c:v>0.20288905407767935</c:v>
                </c:pt>
                <c:pt idx="2">
                  <c:v>0.21904785034018689</c:v>
                </c:pt>
                <c:pt idx="3">
                  <c:v>0.23391724898692229</c:v>
                </c:pt>
                <c:pt idx="4">
                  <c:v>0.22853671283927429</c:v>
                </c:pt>
              </c:numCache>
            </c:numRef>
          </c:val>
          <c:smooth val="0"/>
          <c:extLst>
            <c:ext xmlns:c16="http://schemas.microsoft.com/office/drawing/2014/chart" uri="{C3380CC4-5D6E-409C-BE32-E72D297353CC}">
              <c16:uniqueId val="{00000002-BDFC-4F3E-A412-2D270B5FC603}"/>
            </c:ext>
          </c:extLst>
        </c:ser>
        <c:dLbls>
          <c:showLegendKey val="0"/>
          <c:showVal val="0"/>
          <c:showCatName val="0"/>
          <c:showSerName val="0"/>
          <c:showPercent val="0"/>
          <c:showBubbleSize val="0"/>
        </c:dLbls>
        <c:marker val="1"/>
        <c:smooth val="0"/>
        <c:axId val="1691490496"/>
        <c:axId val="1691500096"/>
      </c:lineChart>
      <c:catAx>
        <c:axId val="169149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500096"/>
        <c:crosses val="autoZero"/>
        <c:auto val="1"/>
        <c:lblAlgn val="ctr"/>
        <c:lblOffset val="100"/>
        <c:noMultiLvlLbl val="0"/>
      </c:catAx>
      <c:valAx>
        <c:axId val="169150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490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IN"/>
              <a:t>FY2025 Cash Flow Analysis</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waterfall" uniqueId="{4DE5D450-9FA8-4A71-93EA-8979AAA46F83}">
          <cx:tx>
            <cx:txData>
              <cx:f>_xlchart.v1.4</cx:f>
              <cx:v> Value</cx:v>
            </cx:txData>
          </cx:tx>
          <cx:spPr>
            <a:solidFill>
              <a:srgbClr val="00B050"/>
            </a:solidFill>
          </cx:spPr>
          <cx:dataPt idx="0">
            <cx:spPr>
              <a:solidFill>
                <a:srgbClr val="FF8C00"/>
              </a:solidFill>
            </cx:spPr>
          </cx:dataPt>
          <cx:dataPt idx="2">
            <cx:spPr>
              <a:solidFill>
                <a:srgbClr val="1F3864"/>
              </a:solidFill>
            </cx:spPr>
          </cx:dataPt>
          <cx:dataPt idx="3">
            <cx:spPr>
              <a:solidFill>
                <a:srgbClr val="FFFF00"/>
              </a:solidFill>
            </cx:spPr>
          </cx:dataPt>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spPr>
    <a:ln>
      <a:solidFill>
        <a:schemeClr val="tx1">
          <a:lumMod val="95000"/>
          <a:lumOff val="5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147107</xdr:colOff>
      <xdr:row>5</xdr:row>
      <xdr:rowOff>150283</xdr:rowOff>
    </xdr:from>
    <xdr:to>
      <xdr:col>4</xdr:col>
      <xdr:colOff>137583</xdr:colOff>
      <xdr:row>17</xdr:row>
      <xdr:rowOff>171450</xdr:rowOff>
    </xdr:to>
    <xdr:graphicFrame macro="">
      <xdr:nvGraphicFramePr>
        <xdr:cNvPr id="3" name="Chart 2">
          <a:extLst>
            <a:ext uri="{FF2B5EF4-FFF2-40B4-BE49-F238E27FC236}">
              <a16:creationId xmlns:a16="http://schemas.microsoft.com/office/drawing/2014/main" id="{AEF4EA2F-2F5D-C9AF-F0A2-7D0669ADD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396875</xdr:colOff>
      <xdr:row>5</xdr:row>
      <xdr:rowOff>146050</xdr:rowOff>
    </xdr:from>
    <xdr:to>
      <xdr:col>7</xdr:col>
      <xdr:colOff>1540934</xdr:colOff>
      <xdr:row>17</xdr:row>
      <xdr:rowOff>169333</xdr:rowOff>
    </xdr:to>
    <xdr:graphicFrame macro="">
      <xdr:nvGraphicFramePr>
        <xdr:cNvPr id="4" name="Chart 3">
          <a:extLst>
            <a:ext uri="{FF2B5EF4-FFF2-40B4-BE49-F238E27FC236}">
              <a16:creationId xmlns:a16="http://schemas.microsoft.com/office/drawing/2014/main" id="{73121A7B-7661-BB43-6986-72105649E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134409</xdr:colOff>
      <xdr:row>18</xdr:row>
      <xdr:rowOff>80434</xdr:rowOff>
    </xdr:from>
    <xdr:to>
      <xdr:col>4</xdr:col>
      <xdr:colOff>160867</xdr:colOff>
      <xdr:row>32</xdr:row>
      <xdr:rowOff>86784</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9722B580-B94F-7240-61FF-44E433944D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48242" y="3795184"/>
              <a:ext cx="4090458" cy="25251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390526</xdr:colOff>
      <xdr:row>18</xdr:row>
      <xdr:rowOff>69851</xdr:rowOff>
    </xdr:from>
    <xdr:to>
      <xdr:col>7</xdr:col>
      <xdr:colOff>1555750</xdr:colOff>
      <xdr:row>32</xdr:row>
      <xdr:rowOff>74084</xdr:rowOff>
    </xdr:to>
    <xdr:graphicFrame macro="">
      <xdr:nvGraphicFramePr>
        <xdr:cNvPr id="7" name="Chart 6">
          <a:extLst>
            <a:ext uri="{FF2B5EF4-FFF2-40B4-BE49-F238E27FC236}">
              <a16:creationId xmlns:a16="http://schemas.microsoft.com/office/drawing/2014/main" id="{12169AB5-9341-B6B6-C0B5-3F36CB050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0EB85-6779-4B61-9D31-85245F4EA485}">
  <dimension ref="A1:H15"/>
  <sheetViews>
    <sheetView showGridLines="0" workbookViewId="0">
      <selection activeCell="J6" sqref="J6"/>
    </sheetView>
  </sheetViews>
  <sheetFormatPr defaultRowHeight="14.5"/>
  <cols>
    <col min="2" max="2" width="8.7265625" customWidth="1"/>
    <col min="5" max="5" width="25" bestFit="1" customWidth="1"/>
  </cols>
  <sheetData>
    <row r="1" spans="1:8" ht="30">
      <c r="A1" s="3" t="s">
        <v>0</v>
      </c>
      <c r="B1" s="3"/>
      <c r="C1" s="3"/>
      <c r="D1" s="3"/>
      <c r="E1" s="3"/>
      <c r="F1" s="3"/>
      <c r="G1" s="3"/>
      <c r="H1" s="3"/>
    </row>
    <row r="2" spans="1:8" ht="18.5">
      <c r="A2" s="4" t="s">
        <v>1</v>
      </c>
      <c r="B2" s="4"/>
      <c r="C2" s="4"/>
      <c r="D2" s="4"/>
      <c r="E2" s="4"/>
      <c r="F2" s="4"/>
      <c r="G2" s="4"/>
      <c r="H2" s="4"/>
    </row>
    <row r="4" spans="1:8">
      <c r="D4" s="8" t="s">
        <v>2</v>
      </c>
      <c r="E4" s="9" t="s">
        <v>10</v>
      </c>
    </row>
    <row r="5" spans="1:8">
      <c r="D5" s="5" t="s">
        <v>3</v>
      </c>
      <c r="E5" s="6" t="s">
        <v>11</v>
      </c>
    </row>
    <row r="6" spans="1:8">
      <c r="D6" s="8" t="s">
        <v>4</v>
      </c>
      <c r="E6" s="9" t="s">
        <v>12</v>
      </c>
    </row>
    <row r="7" spans="1:8">
      <c r="D7" s="5" t="s">
        <v>5</v>
      </c>
      <c r="E7" s="6" t="s">
        <v>13</v>
      </c>
    </row>
    <row r="8" spans="1:8">
      <c r="D8" s="8" t="s">
        <v>6</v>
      </c>
      <c r="E8" s="9" t="s">
        <v>14</v>
      </c>
    </row>
    <row r="9" spans="1:8">
      <c r="D9" s="5" t="s">
        <v>7</v>
      </c>
      <c r="E9" s="6" t="s">
        <v>15</v>
      </c>
    </row>
    <row r="10" spans="1:8">
      <c r="D10" s="8" t="s">
        <v>8</v>
      </c>
      <c r="E10" s="9" t="s">
        <v>16</v>
      </c>
    </row>
    <row r="11" spans="1:8">
      <c r="D11" s="5" t="s">
        <v>9</v>
      </c>
      <c r="E11" s="7">
        <v>46082</v>
      </c>
    </row>
    <row r="15" spans="1:8">
      <c r="A15" s="10" t="s">
        <v>17</v>
      </c>
    </row>
  </sheetData>
  <mergeCells count="2">
    <mergeCell ref="A1:H1"/>
    <mergeCell ref="A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01D5F-F386-4FFB-BD73-4FAD6BF13224}">
  <dimension ref="A1:G37"/>
  <sheetViews>
    <sheetView showGridLines="0" topLeftCell="A4" workbookViewId="0">
      <selection activeCell="B5" sqref="B5"/>
    </sheetView>
  </sheetViews>
  <sheetFormatPr defaultRowHeight="14.5"/>
  <cols>
    <col min="1" max="1" width="22.90625" bestFit="1" customWidth="1"/>
    <col min="2" max="6" width="11.26953125" bestFit="1" customWidth="1"/>
    <col min="7" max="7" width="8.7265625" bestFit="1" customWidth="1"/>
  </cols>
  <sheetData>
    <row r="1" spans="1:7" ht="19.5">
      <c r="A1" s="15" t="s">
        <v>18</v>
      </c>
      <c r="B1" s="16"/>
      <c r="C1" s="16"/>
      <c r="D1" s="16"/>
      <c r="E1" s="16"/>
      <c r="F1" s="16"/>
      <c r="G1" s="16"/>
    </row>
    <row r="2" spans="1:7">
      <c r="A2" s="12" t="s">
        <v>19</v>
      </c>
      <c r="B2" s="12"/>
      <c r="C2" s="12"/>
      <c r="D2" s="12"/>
      <c r="E2" s="12"/>
      <c r="F2" s="12"/>
      <c r="G2" s="12"/>
    </row>
    <row r="3" spans="1:7">
      <c r="A3" s="13" t="s">
        <v>20</v>
      </c>
      <c r="B3" s="13" t="s">
        <v>21</v>
      </c>
      <c r="C3" s="13" t="s">
        <v>22</v>
      </c>
      <c r="D3" s="13" t="s">
        <v>23</v>
      </c>
      <c r="E3" s="13" t="s">
        <v>24</v>
      </c>
      <c r="F3" s="13" t="s">
        <v>25</v>
      </c>
      <c r="G3" s="13" t="s">
        <v>26</v>
      </c>
    </row>
    <row r="4" spans="1:7">
      <c r="A4" s="14" t="s">
        <v>27</v>
      </c>
      <c r="B4" s="14"/>
      <c r="C4" s="14"/>
      <c r="D4" s="14"/>
      <c r="E4" s="14"/>
      <c r="F4" s="14"/>
      <c r="G4" s="14"/>
    </row>
    <row r="5" spans="1:7">
      <c r="A5" s="19" t="s">
        <v>28</v>
      </c>
      <c r="B5" s="28">
        <v>466307</v>
      </c>
      <c r="C5" s="28">
        <v>694673</v>
      </c>
      <c r="D5" s="28">
        <v>876396</v>
      </c>
      <c r="E5" s="28">
        <v>899041</v>
      </c>
      <c r="F5" s="28">
        <v>962820</v>
      </c>
      <c r="G5" s="25">
        <f>(F5/B5)^(1/4)-1</f>
        <v>0.19872149229003844</v>
      </c>
    </row>
    <row r="6" spans="1:7">
      <c r="A6" s="19" t="s">
        <v>29</v>
      </c>
      <c r="B6" s="28">
        <v>22432</v>
      </c>
      <c r="C6" s="28">
        <v>19600</v>
      </c>
      <c r="D6" s="28">
        <v>12020</v>
      </c>
      <c r="E6" s="28">
        <v>15792</v>
      </c>
      <c r="F6" s="28">
        <v>17824</v>
      </c>
      <c r="G6" s="19"/>
    </row>
    <row r="7" spans="1:7">
      <c r="A7" s="21" t="s">
        <v>30</v>
      </c>
      <c r="B7" s="29">
        <f>B5+B6</f>
        <v>488739</v>
      </c>
      <c r="C7" s="29">
        <f t="shared" ref="C7:F7" si="0">C5+C6</f>
        <v>714273</v>
      </c>
      <c r="D7" s="29">
        <f t="shared" si="0"/>
        <v>888416</v>
      </c>
      <c r="E7" s="29">
        <f t="shared" si="0"/>
        <v>914833</v>
      </c>
      <c r="F7" s="29">
        <f t="shared" si="0"/>
        <v>980644</v>
      </c>
      <c r="G7" s="19"/>
    </row>
    <row r="9" spans="1:7">
      <c r="A9" s="14" t="s">
        <v>31</v>
      </c>
      <c r="B9" s="14"/>
      <c r="C9" s="14"/>
      <c r="D9" s="14"/>
      <c r="E9" s="14"/>
      <c r="F9" s="14"/>
      <c r="G9" s="14"/>
    </row>
    <row r="10" spans="1:7">
      <c r="A10" s="20" t="s">
        <v>50</v>
      </c>
      <c r="B10" s="30">
        <v>385517</v>
      </c>
      <c r="C10" s="30">
        <v>586092</v>
      </c>
      <c r="D10" s="30">
        <v>734078</v>
      </c>
      <c r="E10" s="30">
        <v>736543</v>
      </c>
      <c r="F10" s="30">
        <v>797222</v>
      </c>
      <c r="G10" s="20"/>
    </row>
    <row r="11" spans="1:7">
      <c r="A11" s="20" t="s">
        <v>49</v>
      </c>
      <c r="B11" s="30">
        <v>21189</v>
      </c>
      <c r="C11" s="30">
        <v>14584</v>
      </c>
      <c r="D11" s="30">
        <v>19571</v>
      </c>
      <c r="E11" s="30">
        <v>23118</v>
      </c>
      <c r="F11" s="30">
        <v>24269</v>
      </c>
      <c r="G11" s="20"/>
    </row>
    <row r="12" spans="1:7">
      <c r="A12" s="20" t="s">
        <v>32</v>
      </c>
      <c r="B12" s="30">
        <v>26572</v>
      </c>
      <c r="C12" s="30">
        <v>29782</v>
      </c>
      <c r="D12" s="30">
        <v>40303</v>
      </c>
      <c r="E12" s="30">
        <v>50832</v>
      </c>
      <c r="F12" s="30">
        <v>53136</v>
      </c>
      <c r="G12" s="20"/>
    </row>
    <row r="13" spans="1:7">
      <c r="A13" s="20" t="s">
        <v>36</v>
      </c>
      <c r="B13" s="30">
        <v>1722</v>
      </c>
      <c r="C13" s="30">
        <v>15970</v>
      </c>
      <c r="D13" s="30">
        <v>20376</v>
      </c>
      <c r="E13" s="30">
        <v>25707</v>
      </c>
      <c r="F13" s="30">
        <v>25230</v>
      </c>
      <c r="G13" s="20"/>
    </row>
    <row r="14" spans="1:7">
      <c r="A14" s="22" t="s">
        <v>51</v>
      </c>
      <c r="B14" s="31">
        <f>B10+B11+B12+B13</f>
        <v>435000</v>
      </c>
      <c r="C14" s="31">
        <f>C10+C11+C12+C13</f>
        <v>646428</v>
      </c>
      <c r="D14" s="31">
        <f t="shared" ref="D14:F14" si="1">D10+D11+D12+D13</f>
        <v>814328</v>
      </c>
      <c r="E14" s="31">
        <f t="shared" si="1"/>
        <v>836200</v>
      </c>
      <c r="F14" s="31">
        <f t="shared" si="1"/>
        <v>899857</v>
      </c>
    </row>
    <row r="16" spans="1:7">
      <c r="A16" s="14" t="s">
        <v>33</v>
      </c>
      <c r="B16" s="14"/>
      <c r="C16" s="14"/>
      <c r="D16" s="14"/>
      <c r="E16" s="14"/>
      <c r="F16" s="14"/>
      <c r="G16" s="14"/>
    </row>
    <row r="17" spans="1:7">
      <c r="A17" s="22" t="s">
        <v>55</v>
      </c>
      <c r="B17" s="31">
        <f>B5-B10</f>
        <v>80790</v>
      </c>
      <c r="C17" s="31">
        <f>C5-C10</f>
        <v>108581</v>
      </c>
      <c r="D17" s="31">
        <f>D5-D10</f>
        <v>142318</v>
      </c>
      <c r="E17" s="31">
        <f>E5-E10</f>
        <v>162498</v>
      </c>
      <c r="F17" s="31">
        <f>F5-F10</f>
        <v>165598</v>
      </c>
      <c r="G17" s="25">
        <f>(F17/B17)^(1/4)-1</f>
        <v>0.19653214309609757</v>
      </c>
    </row>
    <row r="18" spans="1:7">
      <c r="A18" s="22" t="s">
        <v>34</v>
      </c>
      <c r="B18" s="31">
        <f>B17+B12</f>
        <v>107362</v>
      </c>
      <c r="C18" s="31">
        <f>C17+C12</f>
        <v>138363</v>
      </c>
      <c r="D18" s="31">
        <f>D17+D12</f>
        <v>182621</v>
      </c>
      <c r="E18" s="31">
        <f>E17+E12</f>
        <v>213330</v>
      </c>
      <c r="F18" s="31">
        <f>F17+F12</f>
        <v>218734</v>
      </c>
      <c r="G18" s="25">
        <f>(F18/B18)^(1/4)-1</f>
        <v>0.19472080181346918</v>
      </c>
    </row>
    <row r="19" spans="1:7">
      <c r="A19" s="20" t="s">
        <v>35</v>
      </c>
      <c r="B19" s="30">
        <v>55461</v>
      </c>
      <c r="C19" s="30">
        <v>83815</v>
      </c>
      <c r="D19" s="30">
        <v>94464</v>
      </c>
      <c r="E19" s="30">
        <v>104340</v>
      </c>
      <c r="F19" s="30">
        <v>106017</v>
      </c>
      <c r="G19" s="25"/>
    </row>
    <row r="20" spans="1:7">
      <c r="A20" s="20" t="s">
        <v>56</v>
      </c>
      <c r="B20" s="30">
        <v>49128</v>
      </c>
      <c r="C20" s="30">
        <v>60705</v>
      </c>
      <c r="D20" s="30">
        <v>66702</v>
      </c>
      <c r="E20" s="30">
        <v>69621</v>
      </c>
      <c r="F20" s="30">
        <v>69648</v>
      </c>
      <c r="G20" s="25">
        <f t="shared" ref="G19:G21" si="2">(F20/B20)^(1/4)-1</f>
        <v>9.1176216287933043E-2</v>
      </c>
    </row>
    <row r="21" spans="1:7">
      <c r="A21" s="20" t="s">
        <v>37</v>
      </c>
      <c r="B21" s="30">
        <v>38.747840901024531</v>
      </c>
      <c r="C21" s="30">
        <v>44.867625537701961</v>
      </c>
      <c r="D21" s="30">
        <v>49.294962752749207</v>
      </c>
      <c r="E21" s="30">
        <v>51.45143887550438</v>
      </c>
      <c r="F21" s="30">
        <v>51.467588897756492</v>
      </c>
      <c r="G21" s="25">
        <f t="shared" si="2"/>
        <v>7.3548276071656815E-2</v>
      </c>
    </row>
    <row r="23" spans="1:7">
      <c r="A23" s="14" t="s">
        <v>39</v>
      </c>
      <c r="B23" s="14"/>
      <c r="C23" s="14"/>
      <c r="D23" s="14"/>
      <c r="E23" s="14"/>
      <c r="F23" s="14"/>
      <c r="G23" s="14"/>
    </row>
    <row r="24" spans="1:7">
      <c r="A24" s="22" t="s">
        <v>53</v>
      </c>
      <c r="B24" s="24">
        <f>B17/B5</f>
        <v>0.17325495864312568</v>
      </c>
      <c r="C24" s="24">
        <f>C17/C5</f>
        <v>0.15630519683361813</v>
      </c>
      <c r="D24" s="24">
        <f>D17/D5</f>
        <v>0.16239006111392568</v>
      </c>
      <c r="E24" s="24">
        <f>E17/E5</f>
        <v>0.18074592816122959</v>
      </c>
      <c r="F24" s="24">
        <f>F17/F5</f>
        <v>0.17199268814524002</v>
      </c>
      <c r="G24" s="20"/>
    </row>
    <row r="25" spans="1:7">
      <c r="A25" s="22" t="s">
        <v>40</v>
      </c>
      <c r="B25" s="24">
        <f>B20/B7</f>
        <v>0.10051990939949544</v>
      </c>
      <c r="C25" s="24">
        <f>C20/C7</f>
        <v>8.4988512795527757E-2</v>
      </c>
      <c r="D25" s="24">
        <f>D20/D7</f>
        <v>7.5079692396354855E-2</v>
      </c>
      <c r="E25" s="24">
        <f>E20/E7</f>
        <v>7.6102414320427886E-2</v>
      </c>
      <c r="F25" s="24">
        <f>F20/F7</f>
        <v>7.1022715684794888E-2</v>
      </c>
      <c r="G25" s="20"/>
    </row>
    <row r="26" spans="1:7">
      <c r="A26" s="22" t="s">
        <v>41</v>
      </c>
      <c r="B26" s="24">
        <f>B13/B19</f>
        <v>3.104884513441878E-2</v>
      </c>
      <c r="C26" s="24">
        <f>C13/C19</f>
        <v>0.19053868639265048</v>
      </c>
      <c r="D26" s="24">
        <f>D13/D19</f>
        <v>0.21570121951219512</v>
      </c>
      <c r="E26" s="24">
        <f>E13/E19</f>
        <v>0.24637722829212191</v>
      </c>
      <c r="F26" s="24">
        <f>F13/F19</f>
        <v>0.23798070120829679</v>
      </c>
      <c r="G26" s="20"/>
    </row>
    <row r="28" spans="1:7">
      <c r="A28" s="14" t="s">
        <v>42</v>
      </c>
      <c r="B28" s="14"/>
      <c r="C28" s="14"/>
      <c r="D28" s="14"/>
      <c r="E28" s="14"/>
      <c r="F28" s="14"/>
      <c r="G28" s="14"/>
    </row>
    <row r="29" spans="1:7">
      <c r="A29" s="20" t="s">
        <v>43</v>
      </c>
      <c r="B29" s="30">
        <v>918.78</v>
      </c>
      <c r="C29" s="30">
        <v>1208.51</v>
      </c>
      <c r="D29" s="30">
        <v>1069.21</v>
      </c>
      <c r="E29" s="30">
        <v>1485.85</v>
      </c>
      <c r="F29" s="30">
        <v>1275.0999999999999</v>
      </c>
      <c r="G29" s="20"/>
    </row>
    <row r="30" spans="1:7">
      <c r="A30" s="22" t="s">
        <v>44</v>
      </c>
      <c r="B30" s="31">
        <f>B29/B21</f>
        <v>23.71177280166097</v>
      </c>
      <c r="C30" s="31">
        <f>C29/C21</f>
        <v>26.935011280784121</v>
      </c>
      <c r="D30" s="31">
        <f>D29/D21</f>
        <v>21.690045803724026</v>
      </c>
      <c r="E30" s="31">
        <f>E29/E21</f>
        <v>28.87868701972106</v>
      </c>
      <c r="F30" s="31">
        <f>F29/F21</f>
        <v>24.774815127498275</v>
      </c>
      <c r="G30" s="20"/>
    </row>
    <row r="31" spans="1:7">
      <c r="A31" s="22" t="s">
        <v>45</v>
      </c>
      <c r="B31" s="31">
        <f>B29*(1352)</f>
        <v>1242190.56</v>
      </c>
      <c r="C31" s="31">
        <f t="shared" ref="C31:F31" si="3">C29*(1352)</f>
        <v>1633905.52</v>
      </c>
      <c r="D31" s="31">
        <f t="shared" si="3"/>
        <v>1445571.9200000002</v>
      </c>
      <c r="E31" s="31">
        <f t="shared" si="3"/>
        <v>2008869.2</v>
      </c>
      <c r="F31" s="31">
        <f t="shared" si="3"/>
        <v>1723935.2</v>
      </c>
      <c r="G31" s="20"/>
    </row>
    <row r="33" spans="1:7">
      <c r="A33" s="14" t="s">
        <v>38</v>
      </c>
      <c r="B33" s="14"/>
      <c r="C33" s="14"/>
      <c r="D33" s="14"/>
      <c r="E33" s="14"/>
      <c r="F33" s="14"/>
      <c r="G33" s="14"/>
    </row>
    <row r="34" spans="1:7">
      <c r="A34" s="22" t="s">
        <v>46</v>
      </c>
      <c r="B34" s="23" t="s">
        <v>54</v>
      </c>
      <c r="C34" s="17">
        <f>(C5-B5)/B5</f>
        <v>0.4897331586272563</v>
      </c>
      <c r="D34" s="17">
        <f>(D5-C5)/C5</f>
        <v>0.2615950238457519</v>
      </c>
      <c r="E34" s="17">
        <f>(E5-D5)/D5</f>
        <v>2.5838776078393785E-2</v>
      </c>
      <c r="F34" s="17">
        <f>(F5-E5)/E5</f>
        <v>7.0941147289167006E-2</v>
      </c>
      <c r="G34" s="20"/>
    </row>
    <row r="35" spans="1:7">
      <c r="A35" s="22" t="s">
        <v>47</v>
      </c>
      <c r="B35" s="23" t="s">
        <v>54</v>
      </c>
      <c r="C35" s="17">
        <f>(C17-B17)/B17</f>
        <v>0.34399059289516032</v>
      </c>
      <c r="D35" s="17">
        <f>(D17-C17)/C17</f>
        <v>0.31070813494073551</v>
      </c>
      <c r="E35" s="17">
        <f>(E17-D17)/D17</f>
        <v>0.14179513483888195</v>
      </c>
      <c r="F35" s="17">
        <f>(F17-E17)/E17</f>
        <v>1.9077157872712278E-2</v>
      </c>
      <c r="G35" s="20"/>
    </row>
    <row r="36" spans="1:7">
      <c r="A36" s="22" t="s">
        <v>57</v>
      </c>
      <c r="B36" s="23" t="s">
        <v>54</v>
      </c>
      <c r="C36" s="17">
        <f>(C20-B20)/B20</f>
        <v>0.23564973131411823</v>
      </c>
      <c r="D36" s="17">
        <f>(D20-C20)/C20</f>
        <v>9.8789226587595744E-2</v>
      </c>
      <c r="E36" s="17">
        <f>(E20-D20)/D20</f>
        <v>4.3761806242691374E-2</v>
      </c>
      <c r="F36" s="17">
        <f>(F20-E20)/E20</f>
        <v>3.8781402163140429E-4</v>
      </c>
      <c r="G36" s="20"/>
    </row>
    <row r="37" spans="1:7">
      <c r="A37" s="22" t="s">
        <v>48</v>
      </c>
      <c r="B37" s="23" t="s">
        <v>54</v>
      </c>
      <c r="C37" s="17">
        <f>(C21-B21)/B21</f>
        <v>0.15793872624566332</v>
      </c>
      <c r="D37" s="17">
        <f>(D21-C21)/C21</f>
        <v>9.8675540815659699E-2</v>
      </c>
      <c r="E37" s="17">
        <f>(E21-D21)/D21</f>
        <v>4.3746378987473827E-2</v>
      </c>
      <c r="F37" s="17">
        <f>(F21-E21)/E21</f>
        <v>3.1388864150506008E-4</v>
      </c>
      <c r="G37" s="20"/>
    </row>
  </sheetData>
  <mergeCells count="8">
    <mergeCell ref="A16:G16"/>
    <mergeCell ref="A23:G23"/>
    <mergeCell ref="A28:G28"/>
    <mergeCell ref="A33:G33"/>
    <mergeCell ref="A1:G1"/>
    <mergeCell ref="A2:G2"/>
    <mergeCell ref="A4:G4"/>
    <mergeCell ref="A9:G9"/>
  </mergeCells>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4C331-E671-4173-99BB-30195156BD99}">
  <dimension ref="A1:G34"/>
  <sheetViews>
    <sheetView showGridLines="0" topLeftCell="A10" workbookViewId="0">
      <selection sqref="A1:G1"/>
    </sheetView>
  </sheetViews>
  <sheetFormatPr defaultRowHeight="14.5"/>
  <cols>
    <col min="1" max="1" width="30.7265625" bestFit="1" customWidth="1"/>
    <col min="2" max="2" width="11.26953125" bestFit="1" customWidth="1"/>
    <col min="3" max="4" width="11.08984375" bestFit="1" customWidth="1"/>
    <col min="5" max="6" width="11.7265625" bestFit="1" customWidth="1"/>
  </cols>
  <sheetData>
    <row r="1" spans="1:7" ht="19">
      <c r="A1" s="15" t="s">
        <v>58</v>
      </c>
      <c r="B1" s="15"/>
      <c r="C1" s="15"/>
      <c r="D1" s="15"/>
      <c r="E1" s="15"/>
      <c r="F1" s="15"/>
      <c r="G1" s="15"/>
    </row>
    <row r="2" spans="1:7">
      <c r="A2" s="26" t="s">
        <v>19</v>
      </c>
      <c r="B2" s="2"/>
      <c r="C2" s="2"/>
      <c r="D2" s="2"/>
      <c r="E2" s="2"/>
      <c r="F2" s="2"/>
      <c r="G2" s="2"/>
    </row>
    <row r="3" spans="1:7">
      <c r="A3" s="13" t="s">
        <v>20</v>
      </c>
      <c r="B3" s="13" t="s">
        <v>21</v>
      </c>
      <c r="C3" s="13" t="s">
        <v>22</v>
      </c>
      <c r="D3" s="13" t="s">
        <v>23</v>
      </c>
      <c r="E3" s="13" t="s">
        <v>24</v>
      </c>
      <c r="F3" s="13" t="s">
        <v>25</v>
      </c>
      <c r="G3" s="13" t="s">
        <v>26</v>
      </c>
    </row>
    <row r="4" spans="1:7">
      <c r="A4" s="14" t="s">
        <v>60</v>
      </c>
      <c r="B4" s="14"/>
      <c r="C4" s="14"/>
      <c r="D4" s="14"/>
      <c r="E4" s="14"/>
      <c r="F4" s="14"/>
      <c r="G4" s="14"/>
    </row>
    <row r="5" spans="1:7">
      <c r="A5" t="s">
        <v>61</v>
      </c>
      <c r="B5" s="32">
        <v>6445</v>
      </c>
      <c r="C5" s="32">
        <v>6765</v>
      </c>
      <c r="D5" s="32">
        <v>6766</v>
      </c>
      <c r="E5" s="32">
        <v>6766</v>
      </c>
      <c r="F5" s="32">
        <v>13532</v>
      </c>
      <c r="G5">
        <f>(F5/B5)^(1/4)-1</f>
        <v>0.20374575017008856</v>
      </c>
    </row>
    <row r="6" spans="1:7">
      <c r="A6" t="s">
        <v>62</v>
      </c>
      <c r="B6" s="32">
        <v>693727</v>
      </c>
      <c r="C6" s="32">
        <v>772720</v>
      </c>
      <c r="D6" s="32">
        <v>709106</v>
      </c>
      <c r="E6" s="32">
        <v>786715</v>
      </c>
      <c r="F6" s="32">
        <v>829668</v>
      </c>
      <c r="G6">
        <f>(F6/B6)^(1/4)-1</f>
        <v>4.5752557920885284E-2</v>
      </c>
    </row>
    <row r="7" spans="1:7">
      <c r="A7" t="s">
        <v>63</v>
      </c>
      <c r="B7" s="32">
        <f>B6+B5</f>
        <v>700172</v>
      </c>
      <c r="C7" s="32">
        <f t="shared" ref="C7:F7" si="0">C6+C5</f>
        <v>779485</v>
      </c>
      <c r="D7" s="32">
        <f t="shared" si="0"/>
        <v>715872</v>
      </c>
      <c r="E7" s="32">
        <f t="shared" si="0"/>
        <v>793481</v>
      </c>
      <c r="F7" s="32">
        <f t="shared" si="0"/>
        <v>843200</v>
      </c>
    </row>
    <row r="9" spans="1:7">
      <c r="A9" s="14" t="s">
        <v>64</v>
      </c>
      <c r="B9" s="14"/>
      <c r="C9" s="14"/>
      <c r="D9" s="14"/>
      <c r="E9" s="14"/>
      <c r="F9" s="14"/>
      <c r="G9" s="14"/>
    </row>
    <row r="10" spans="1:7">
      <c r="A10" t="s">
        <v>65</v>
      </c>
      <c r="B10" s="32">
        <v>278962</v>
      </c>
      <c r="C10" s="32">
        <v>319158</v>
      </c>
      <c r="D10" s="32">
        <v>451664</v>
      </c>
      <c r="E10" s="32">
        <v>350719</v>
      </c>
      <c r="F10" s="32">
        <v>374313</v>
      </c>
      <c r="G10">
        <f>(F10/B10)^(1/4)-1</f>
        <v>7.6273050007462651E-2</v>
      </c>
    </row>
    <row r="11" spans="1:7">
      <c r="A11" t="s">
        <v>66</v>
      </c>
      <c r="B11" s="33">
        <v>340931</v>
      </c>
      <c r="C11" s="33">
        <v>399979</v>
      </c>
      <c r="D11" s="33">
        <v>438346</v>
      </c>
      <c r="E11" s="33">
        <v>610848</v>
      </c>
      <c r="F11" s="33">
        <v>732200</v>
      </c>
    </row>
    <row r="12" spans="1:7">
      <c r="A12" t="s">
        <v>67</v>
      </c>
      <c r="B12" s="33">
        <f>B11+B10</f>
        <v>619893</v>
      </c>
      <c r="C12" s="33">
        <f t="shared" ref="C12:F12" si="1">C11+C10</f>
        <v>719137</v>
      </c>
      <c r="D12" s="33">
        <f t="shared" si="1"/>
        <v>890010</v>
      </c>
      <c r="E12" s="33">
        <f t="shared" si="1"/>
        <v>961567</v>
      </c>
      <c r="F12" s="33">
        <f t="shared" si="1"/>
        <v>1106513</v>
      </c>
    </row>
    <row r="14" spans="1:7">
      <c r="A14" t="s">
        <v>68</v>
      </c>
      <c r="B14" s="32">
        <f>B12+B7</f>
        <v>1320065</v>
      </c>
      <c r="C14" s="32">
        <f t="shared" ref="C14:F14" si="2">C12+C7</f>
        <v>1498622</v>
      </c>
      <c r="D14" s="32">
        <f t="shared" si="2"/>
        <v>1605882</v>
      </c>
      <c r="E14" s="32">
        <f t="shared" si="2"/>
        <v>1755048</v>
      </c>
      <c r="F14" s="32">
        <f>F12+F7</f>
        <v>1949713</v>
      </c>
    </row>
    <row r="16" spans="1:7">
      <c r="A16" s="14" t="s">
        <v>59</v>
      </c>
      <c r="B16" s="14"/>
      <c r="C16" s="14"/>
      <c r="D16" s="14"/>
      <c r="E16" s="14"/>
      <c r="F16" s="14"/>
      <c r="G16" s="14"/>
    </row>
    <row r="17" spans="1:7">
      <c r="A17" t="s">
        <v>69</v>
      </c>
      <c r="B17" s="32">
        <v>541258</v>
      </c>
      <c r="C17" s="32">
        <v>627798</v>
      </c>
      <c r="D17" s="32">
        <v>724805</v>
      </c>
      <c r="E17" s="32">
        <v>779985</v>
      </c>
      <c r="F17" s="32">
        <v>999393</v>
      </c>
      <c r="G17">
        <f>(F17/B17)^(1/4)-1</f>
        <v>0.1656897929133585</v>
      </c>
    </row>
    <row r="18" spans="1:7">
      <c r="A18" t="s">
        <v>70</v>
      </c>
      <c r="B18" s="32">
        <v>125953</v>
      </c>
      <c r="C18" s="32">
        <v>172506</v>
      </c>
      <c r="D18" s="32">
        <v>293752</v>
      </c>
      <c r="E18" s="32">
        <v>338855</v>
      </c>
      <c r="F18" s="32">
        <v>262358</v>
      </c>
    </row>
    <row r="19" spans="1:7">
      <c r="A19" t="s">
        <v>71</v>
      </c>
      <c r="B19" s="32">
        <v>364828</v>
      </c>
      <c r="C19" s="32">
        <v>394264</v>
      </c>
      <c r="D19" s="32">
        <v>235560</v>
      </c>
      <c r="E19" s="32">
        <v>225672</v>
      </c>
      <c r="F19" s="32">
        <v>242381</v>
      </c>
    </row>
    <row r="20" spans="1:7">
      <c r="A20" t="s">
        <v>72</v>
      </c>
      <c r="B20" s="32">
        <v>288026</v>
      </c>
      <c r="C20" s="32">
        <v>304054</v>
      </c>
      <c r="D20" s="32">
        <v>351765</v>
      </c>
      <c r="E20" s="32">
        <v>410536</v>
      </c>
      <c r="F20" s="32">
        <v>445581</v>
      </c>
    </row>
    <row r="21" spans="1:7">
      <c r="A21" t="s">
        <v>73</v>
      </c>
      <c r="B21" s="32">
        <f>SUM(B17:B20)</f>
        <v>1320065</v>
      </c>
      <c r="C21" s="32">
        <f t="shared" ref="C21:F21" si="3">SUM(C17:C20)</f>
        <v>1498622</v>
      </c>
      <c r="D21" s="32">
        <f t="shared" si="3"/>
        <v>1605882</v>
      </c>
      <c r="E21" s="32">
        <f t="shared" si="3"/>
        <v>1755048</v>
      </c>
      <c r="F21" s="32">
        <f t="shared" si="3"/>
        <v>1949713</v>
      </c>
      <c r="G21">
        <f t="shared" ref="G18:G21" si="4">(F21/B21)^(1/4)-1</f>
        <v>0.10241177351223785</v>
      </c>
    </row>
    <row r="23" spans="1:7">
      <c r="A23" s="27" t="s">
        <v>74</v>
      </c>
      <c r="B23" s="27"/>
      <c r="C23" s="27"/>
      <c r="D23" s="27"/>
      <c r="E23" s="27"/>
      <c r="F23" s="27"/>
      <c r="G23" s="27"/>
    </row>
    <row r="24" spans="1:7">
      <c r="A24" t="s">
        <v>75</v>
      </c>
      <c r="B24" s="34">
        <v>-52905</v>
      </c>
      <c r="C24" s="34">
        <v>-95925</v>
      </c>
      <c r="D24" s="34">
        <v>-86581</v>
      </c>
      <c r="E24" s="34">
        <v>-200312</v>
      </c>
      <c r="F24" s="34">
        <v>-286619</v>
      </c>
    </row>
    <row r="25" spans="1:7">
      <c r="A25" t="s">
        <v>76</v>
      </c>
      <c r="B25" s="32">
        <v>19014</v>
      </c>
      <c r="C25" s="32">
        <v>23640</v>
      </c>
      <c r="D25" s="32">
        <v>28448</v>
      </c>
      <c r="E25" s="32">
        <v>31628</v>
      </c>
      <c r="F25" s="32">
        <v>42121</v>
      </c>
    </row>
    <row r="26" spans="1:7">
      <c r="A26" t="s">
        <v>77</v>
      </c>
      <c r="B26" s="32">
        <v>81672</v>
      </c>
      <c r="C26" s="32">
        <v>107778</v>
      </c>
      <c r="D26" s="32">
        <v>140008</v>
      </c>
      <c r="E26" s="32">
        <v>152770</v>
      </c>
      <c r="F26" s="32">
        <v>146062</v>
      </c>
    </row>
    <row r="28" spans="1:7">
      <c r="A28" s="27" t="s">
        <v>78</v>
      </c>
      <c r="B28" s="27"/>
      <c r="C28" s="27"/>
      <c r="D28" s="27"/>
      <c r="E28" s="27"/>
      <c r="F28" s="27"/>
      <c r="G28" s="27"/>
    </row>
    <row r="29" spans="1:7">
      <c r="A29" t="s">
        <v>79</v>
      </c>
      <c r="B29">
        <v>14.883134930421376</v>
      </c>
      <c r="C29">
        <v>12.421095968894717</v>
      </c>
      <c r="D29">
        <v>11.847977398345039</v>
      </c>
      <c r="E29">
        <v>12.840593476826974</v>
      </c>
      <c r="F29">
        <v>15.967849649986498</v>
      </c>
    </row>
    <row r="30" spans="1:7">
      <c r="A30" t="s">
        <v>80</v>
      </c>
      <c r="B30">
        <v>5.7095087667744151</v>
      </c>
      <c r="C30">
        <v>6.4454062981313438</v>
      </c>
      <c r="D30">
        <v>6.2596137363579221</v>
      </c>
      <c r="E30">
        <v>5.8849315965176405</v>
      </c>
      <c r="F30">
        <v>6.5918582519751885</v>
      </c>
    </row>
    <row r="32" spans="1:7">
      <c r="A32" s="27" t="s">
        <v>81</v>
      </c>
      <c r="B32" s="27"/>
      <c r="C32" s="27"/>
      <c r="D32" s="27"/>
      <c r="E32" s="27"/>
      <c r="F32" s="27"/>
      <c r="G32" s="27"/>
    </row>
    <row r="33" spans="1:6">
      <c r="A33" t="s">
        <v>82</v>
      </c>
      <c r="B33" s="35">
        <v>7.0165616448529797E-2</v>
      </c>
      <c r="C33" s="35">
        <v>7.787834275194519E-2</v>
      </c>
      <c r="D33" s="35">
        <v>9.3175875016762777E-2</v>
      </c>
      <c r="E33" s="35">
        <v>8.7741231359036956E-2</v>
      </c>
      <c r="F33" s="35">
        <v>8.259962049335863E-2</v>
      </c>
    </row>
    <row r="34" spans="1:6">
      <c r="A34" t="s">
        <v>83</v>
      </c>
      <c r="B34" s="35">
        <v>8.5957812825040239E-2</v>
      </c>
      <c r="C34" s="35">
        <v>9.4715650428318338E-2</v>
      </c>
      <c r="D34" s="35">
        <v>0.10064077021276784</v>
      </c>
      <c r="E34" s="35">
        <v>0.11027037689424744</v>
      </c>
      <c r="F34" s="35">
        <v>0.11033178036450661</v>
      </c>
    </row>
  </sheetData>
  <mergeCells count="8">
    <mergeCell ref="A23:G23"/>
    <mergeCell ref="A28:G28"/>
    <mergeCell ref="A32:G32"/>
    <mergeCell ref="A1:G1"/>
    <mergeCell ref="A2:G2"/>
    <mergeCell ref="A4:G4"/>
    <mergeCell ref="A9:G9"/>
    <mergeCell ref="A16:G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708FB-B8C0-4D20-82A2-53EBE7B50C21}">
  <dimension ref="A1:G26"/>
  <sheetViews>
    <sheetView showGridLines="0" topLeftCell="A13" workbookViewId="0">
      <selection activeCell="B23" sqref="B23"/>
    </sheetView>
  </sheetViews>
  <sheetFormatPr defaultRowHeight="14.5"/>
  <cols>
    <col min="1" max="1" width="26.54296875" bestFit="1" customWidth="1"/>
    <col min="2" max="3" width="10.453125" bestFit="1" customWidth="1"/>
    <col min="4" max="4" width="9.90625" bestFit="1" customWidth="1"/>
    <col min="5" max="6" width="10.453125" bestFit="1" customWidth="1"/>
  </cols>
  <sheetData>
    <row r="1" spans="1:7" ht="19">
      <c r="A1" s="15" t="s">
        <v>84</v>
      </c>
      <c r="B1" s="15"/>
      <c r="C1" s="15"/>
      <c r="D1" s="15"/>
      <c r="E1" s="15"/>
      <c r="F1" s="15"/>
      <c r="G1" s="15"/>
    </row>
    <row r="2" spans="1:7">
      <c r="A2" s="26" t="s">
        <v>19</v>
      </c>
      <c r="B2" s="2"/>
      <c r="C2" s="2"/>
      <c r="D2" s="2"/>
      <c r="E2" s="2"/>
      <c r="F2" s="2"/>
      <c r="G2" s="2"/>
    </row>
    <row r="3" spans="1:7">
      <c r="A3" s="13" t="s">
        <v>20</v>
      </c>
      <c r="B3" s="13" t="s">
        <v>21</v>
      </c>
      <c r="C3" s="13" t="s">
        <v>22</v>
      </c>
      <c r="D3" s="13" t="s">
        <v>23</v>
      </c>
      <c r="E3" s="13" t="s">
        <v>24</v>
      </c>
      <c r="F3" s="13" t="s">
        <v>25</v>
      </c>
      <c r="G3" s="13" t="s">
        <v>26</v>
      </c>
    </row>
    <row r="4" spans="1:7">
      <c r="A4" s="14" t="s">
        <v>85</v>
      </c>
      <c r="B4" s="14"/>
      <c r="C4" s="14"/>
      <c r="D4" s="14"/>
      <c r="E4" s="14"/>
      <c r="F4" s="14"/>
      <c r="G4" s="14"/>
    </row>
    <row r="5" spans="1:7">
      <c r="A5" s="30" t="s">
        <v>86</v>
      </c>
      <c r="B5" s="30">
        <v>26958</v>
      </c>
      <c r="C5" s="30">
        <v>110654</v>
      </c>
      <c r="D5" s="30">
        <v>115032</v>
      </c>
      <c r="E5" s="30">
        <v>158788</v>
      </c>
      <c r="F5" s="30">
        <v>178703</v>
      </c>
    </row>
    <row r="7" spans="1:7">
      <c r="A7" s="14" t="s">
        <v>87</v>
      </c>
      <c r="B7" s="14"/>
      <c r="C7" s="14"/>
      <c r="D7" s="14"/>
      <c r="E7" s="14"/>
      <c r="F7" s="14"/>
      <c r="G7" s="14"/>
    </row>
    <row r="8" spans="1:7">
      <c r="A8" s="28" t="s">
        <v>88</v>
      </c>
      <c r="B8" s="28">
        <v>-142385</v>
      </c>
      <c r="C8" s="28">
        <v>-109162</v>
      </c>
      <c r="D8" s="28">
        <v>-93001</v>
      </c>
      <c r="E8" s="28">
        <v>-113581</v>
      </c>
      <c r="F8" s="28">
        <v>-137535</v>
      </c>
    </row>
    <row r="10" spans="1:7">
      <c r="A10" s="14" t="s">
        <v>89</v>
      </c>
      <c r="B10" s="14"/>
      <c r="C10" s="14"/>
      <c r="D10" s="14"/>
      <c r="E10" s="14"/>
      <c r="F10" s="14"/>
      <c r="G10" s="14"/>
    </row>
    <row r="11" spans="1:7">
      <c r="A11" s="30" t="s">
        <v>90</v>
      </c>
      <c r="B11" s="30">
        <v>101904</v>
      </c>
      <c r="C11" s="30">
        <v>17289</v>
      </c>
      <c r="D11" s="30">
        <v>10455</v>
      </c>
      <c r="E11" s="30">
        <v>-16646</v>
      </c>
      <c r="F11" s="30">
        <v>-31891</v>
      </c>
    </row>
    <row r="13" spans="1:7">
      <c r="A13" s="14" t="s">
        <v>91</v>
      </c>
      <c r="B13" s="14"/>
      <c r="C13" s="14"/>
      <c r="D13" s="14"/>
      <c r="E13" s="14"/>
      <c r="F13" s="14"/>
      <c r="G13" s="14"/>
    </row>
    <row r="14" spans="1:7">
      <c r="A14" s="30" t="s">
        <v>92</v>
      </c>
      <c r="B14" s="30">
        <v>-13523</v>
      </c>
      <c r="C14" s="30">
        <v>18781</v>
      </c>
      <c r="D14" s="30">
        <v>32486</v>
      </c>
      <c r="E14" s="30">
        <v>28561</v>
      </c>
      <c r="F14" s="30">
        <v>9277</v>
      </c>
    </row>
    <row r="16" spans="1:7">
      <c r="A16" s="14" t="s">
        <v>93</v>
      </c>
      <c r="B16" s="14"/>
      <c r="C16" s="14"/>
      <c r="D16" s="14"/>
      <c r="E16" s="14"/>
      <c r="F16" s="14"/>
      <c r="G16" s="14"/>
    </row>
    <row r="17" spans="1:7">
      <c r="A17" s="30" t="s">
        <v>94</v>
      </c>
      <c r="B17" s="30">
        <v>19839</v>
      </c>
      <c r="C17" s="30">
        <v>-13523</v>
      </c>
      <c r="D17" s="30">
        <v>18781</v>
      </c>
      <c r="E17" s="30">
        <v>32486</v>
      </c>
      <c r="F17" s="30">
        <v>28561</v>
      </c>
    </row>
    <row r="18" spans="1:7">
      <c r="A18" s="30" t="s">
        <v>95</v>
      </c>
      <c r="B18" s="30">
        <v>-13523</v>
      </c>
      <c r="C18" s="30">
        <v>18781</v>
      </c>
      <c r="D18" s="30">
        <v>32486</v>
      </c>
      <c r="E18" s="30">
        <v>28561</v>
      </c>
      <c r="F18" s="30">
        <v>9277</v>
      </c>
    </row>
    <row r="19" spans="1:7">
      <c r="A19" s="32" t="s">
        <v>96</v>
      </c>
      <c r="B19" s="32">
        <v>6316</v>
      </c>
      <c r="C19" s="32">
        <v>5258</v>
      </c>
      <c r="D19" s="32">
        <v>51267</v>
      </c>
      <c r="E19" s="32">
        <v>61047</v>
      </c>
      <c r="F19" s="32">
        <v>37838</v>
      </c>
    </row>
    <row r="21" spans="1:7">
      <c r="A21" s="14" t="s">
        <v>97</v>
      </c>
      <c r="B21" s="14"/>
      <c r="C21" s="14"/>
      <c r="D21" s="14"/>
      <c r="E21" s="14"/>
      <c r="F21" s="14"/>
      <c r="G21" s="14"/>
    </row>
    <row r="22" spans="1:7">
      <c r="A22" s="22" t="s">
        <v>98</v>
      </c>
      <c r="B22" s="31">
        <f>B5+B8</f>
        <v>-115427</v>
      </c>
      <c r="C22" s="31">
        <f t="shared" ref="C22:F22" si="0">C5+C8</f>
        <v>1492</v>
      </c>
      <c r="D22" s="31">
        <f t="shared" si="0"/>
        <v>22031</v>
      </c>
      <c r="E22" s="31">
        <f t="shared" si="0"/>
        <v>45207</v>
      </c>
      <c r="F22" s="31">
        <f t="shared" si="0"/>
        <v>41168</v>
      </c>
    </row>
    <row r="23" spans="1:7">
      <c r="A23" s="36" t="s">
        <v>99</v>
      </c>
      <c r="B23" s="37">
        <f>Cash_Flow!B22/Income_Statement!B5</f>
        <v>-0.24753434968808102</v>
      </c>
      <c r="C23" s="37">
        <f>Cash_Flow!C22/Income_Statement!C5</f>
        <v>2.1477731249091299E-3</v>
      </c>
      <c r="D23" s="37">
        <f>Cash_Flow!D22/Income_Statement!D5</f>
        <v>2.5138179544406867E-2</v>
      </c>
      <c r="E23" s="37">
        <f>Cash_Flow!E22/Income_Statement!E5</f>
        <v>5.0283579947966776E-2</v>
      </c>
      <c r="F23" s="37">
        <f>Cash_Flow!F22/Income_Statement!F5</f>
        <v>4.2757732494131818E-2</v>
      </c>
    </row>
    <row r="24" spans="1:7">
      <c r="A24" s="22" t="s">
        <v>100</v>
      </c>
      <c r="B24" s="31">
        <f xml:space="preserve"> ABS(B8)</f>
        <v>142385</v>
      </c>
      <c r="C24" s="31">
        <f t="shared" ref="C24:F24" si="1" xml:space="preserve"> ABS(C8)</f>
        <v>109162</v>
      </c>
      <c r="D24" s="31">
        <f t="shared" si="1"/>
        <v>93001</v>
      </c>
      <c r="E24" s="31">
        <f t="shared" si="1"/>
        <v>113581</v>
      </c>
      <c r="F24" s="31">
        <f t="shared" si="1"/>
        <v>137535</v>
      </c>
    </row>
    <row r="25" spans="1:7">
      <c r="A25" s="36" t="s">
        <v>101</v>
      </c>
      <c r="B25" s="37">
        <f>B24/Income_Statement!B5</f>
        <v>0.3053460488476476</v>
      </c>
      <c r="C25" s="37">
        <f>C24/Income_Statement!C5</f>
        <v>0.15714156156925632</v>
      </c>
      <c r="D25" s="37">
        <f>D24/Income_Statement!D5</f>
        <v>0.10611755416501216</v>
      </c>
      <c r="E25" s="37">
        <f>E24/Income_Statement!E5</f>
        <v>0.12633572884885116</v>
      </c>
      <c r="F25" s="37">
        <f>F24/Income_Statement!F5</f>
        <v>0.14284601483143267</v>
      </c>
    </row>
    <row r="26" spans="1:7">
      <c r="A26" s="36" t="s">
        <v>102</v>
      </c>
      <c r="B26" s="37">
        <f>B5/Income_Statement!B5</f>
        <v>5.7811699159566549E-2</v>
      </c>
      <c r="C26" s="37">
        <f>C5/Income_Statement!C5</f>
        <v>0.15928933469416545</v>
      </c>
      <c r="D26" s="37">
        <f>D5/Income_Statement!D5</f>
        <v>0.13125573370941904</v>
      </c>
      <c r="E26" s="37">
        <f>E5/Income_Statement!E5</f>
        <v>0.17661930879681795</v>
      </c>
      <c r="F26" s="37">
        <f>F5/Income_Statement!F5</f>
        <v>0.18560374732556448</v>
      </c>
    </row>
  </sheetData>
  <mergeCells count="8">
    <mergeCell ref="A1:G1"/>
    <mergeCell ref="A2:G2"/>
    <mergeCell ref="A4:G4"/>
    <mergeCell ref="A10:G10"/>
    <mergeCell ref="A16:G16"/>
    <mergeCell ref="A21:G21"/>
    <mergeCell ref="A7:G7"/>
    <mergeCell ref="A13:G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EB09E-CCE9-4C7A-95AD-DE2841E3C33C}">
  <dimension ref="A1:G32"/>
  <sheetViews>
    <sheetView showGridLines="0" tabSelected="1" topLeftCell="A10" workbookViewId="0">
      <selection activeCell="I10" sqref="I10"/>
    </sheetView>
  </sheetViews>
  <sheetFormatPr defaultRowHeight="14.5"/>
  <cols>
    <col min="1" max="1" width="32.6328125" bestFit="1" customWidth="1"/>
    <col min="2" max="6" width="11.81640625" bestFit="1" customWidth="1"/>
    <col min="7" max="7" width="12.1796875" bestFit="1" customWidth="1"/>
  </cols>
  <sheetData>
    <row r="1" spans="1:7" ht="19">
      <c r="A1" s="15" t="s">
        <v>122</v>
      </c>
      <c r="B1" s="15"/>
      <c r="C1" s="15"/>
      <c r="D1" s="15"/>
      <c r="E1" s="15"/>
      <c r="F1" s="15"/>
      <c r="G1" s="15"/>
    </row>
    <row r="2" spans="1:7">
      <c r="A2" s="26" t="s">
        <v>104</v>
      </c>
      <c r="B2" s="2"/>
      <c r="C2" s="2"/>
      <c r="D2" s="2"/>
      <c r="E2" s="2"/>
      <c r="F2" s="2"/>
      <c r="G2" s="2"/>
    </row>
    <row r="3" spans="1:7">
      <c r="A3" s="13" t="s">
        <v>20</v>
      </c>
      <c r="B3" s="13" t="s">
        <v>21</v>
      </c>
      <c r="C3" s="13" t="s">
        <v>22</v>
      </c>
      <c r="D3" s="13" t="s">
        <v>23</v>
      </c>
      <c r="E3" s="13" t="s">
        <v>24</v>
      </c>
      <c r="F3" s="13" t="s">
        <v>25</v>
      </c>
      <c r="G3" s="13" t="s">
        <v>103</v>
      </c>
    </row>
    <row r="4" spans="1:7">
      <c r="A4" s="14" t="s">
        <v>105</v>
      </c>
      <c r="B4" s="14"/>
      <c r="C4" s="14"/>
      <c r="D4" s="14"/>
      <c r="E4" s="14"/>
      <c r="F4" s="14"/>
      <c r="G4" s="14"/>
    </row>
    <row r="5" spans="1:7">
      <c r="A5" s="36" t="s">
        <v>106</v>
      </c>
      <c r="B5" s="37">
        <f>(Income_Statement!B5-Income_Statement!B10)/Income_Statement!B5</f>
        <v>0.17325495864312568</v>
      </c>
      <c r="C5" s="37">
        <f>(Income_Statement!C5-Income_Statement!C10)/Income_Statement!C5</f>
        <v>0.15630519683361813</v>
      </c>
      <c r="D5" s="37">
        <f>(Income_Statement!D5-Income_Statement!D10)/Income_Statement!D5</f>
        <v>0.16239006111392568</v>
      </c>
      <c r="E5" s="37">
        <f>(Income_Statement!E5-Income_Statement!E10)/Income_Statement!E5</f>
        <v>0.18074592816122959</v>
      </c>
      <c r="F5" s="37">
        <f>(Income_Statement!F5-Income_Statement!F10)/Income_Statement!F5</f>
        <v>0.17199268814524002</v>
      </c>
      <c r="G5" s="37">
        <f>SUM(B5:F5)/5</f>
        <v>0.16893776657942783</v>
      </c>
    </row>
    <row r="6" spans="1:7">
      <c r="A6" s="36" t="s">
        <v>53</v>
      </c>
      <c r="B6" s="37">
        <f xml:space="preserve"> Income_Statement!B17 / Income_Statement!B5</f>
        <v>0.17325495864312568</v>
      </c>
      <c r="C6" s="37">
        <f xml:space="preserve"> Income_Statement!C17 / Income_Statement!C5</f>
        <v>0.15630519683361813</v>
      </c>
      <c r="D6" s="37">
        <f xml:space="preserve"> Income_Statement!D17 / Income_Statement!D5</f>
        <v>0.16239006111392568</v>
      </c>
      <c r="E6" s="37">
        <f xml:space="preserve"> Income_Statement!E17 / Income_Statement!E5</f>
        <v>0.18074592816122959</v>
      </c>
      <c r="F6" s="37">
        <f xml:space="preserve"> Income_Statement!F17 / Income_Statement!F5</f>
        <v>0.17199268814524002</v>
      </c>
      <c r="G6" s="37">
        <f t="shared" ref="G6:G11" si="0">SUM(B6:F6)/5</f>
        <v>0.16893776657942783</v>
      </c>
    </row>
    <row r="7" spans="1:7">
      <c r="A7" s="36" t="s">
        <v>40</v>
      </c>
      <c r="B7" s="37">
        <f>Income_Statement!B20/Income_Statement!B5</f>
        <v>0.10535548469141574</v>
      </c>
      <c r="C7" s="37">
        <f>Income_Statement!C20/Income_Statement!C5</f>
        <v>8.7386439375072872E-2</v>
      </c>
      <c r="D7" s="37">
        <f>Income_Statement!D20/Income_Statement!D5</f>
        <v>7.6109429983705998E-2</v>
      </c>
      <c r="E7" s="37">
        <f>Income_Statement!E20/Income_Statement!E5</f>
        <v>7.7439182417709543E-2</v>
      </c>
      <c r="F7" s="37">
        <f>Income_Statement!F20/Income_Statement!F5</f>
        <v>7.2337508568579803E-2</v>
      </c>
      <c r="G7" s="37">
        <f t="shared" si="0"/>
        <v>8.3725609007296781E-2</v>
      </c>
    </row>
    <row r="8" spans="1:7">
      <c r="A8" s="36" t="s">
        <v>107</v>
      </c>
      <c r="B8" s="37">
        <f>Income_Statement!B18/Income_Statement!B5</f>
        <v>0.2302388769630308</v>
      </c>
      <c r="C8" s="37">
        <f>Income_Statement!C18/Income_Statement!C5</f>
        <v>0.1991771668108592</v>
      </c>
      <c r="D8" s="37">
        <f>Income_Statement!D18/Income_Statement!D5</f>
        <v>0.20837726324629505</v>
      </c>
      <c r="E8" s="37">
        <f>Income_Statement!E18/Income_Statement!E5</f>
        <v>0.23728617493529217</v>
      </c>
      <c r="F8" s="37">
        <f>Income_Statement!F18/Income_Statement!F5</f>
        <v>0.22718057373133088</v>
      </c>
      <c r="G8" s="37">
        <f t="shared" si="0"/>
        <v>0.22045201113736163</v>
      </c>
    </row>
    <row r="9" spans="1:7">
      <c r="A9" s="36" t="s">
        <v>108</v>
      </c>
      <c r="B9" s="37">
        <f>Income_Statement!B20/(Balance_Sheet!B7+Balance_Sheet!B10)</f>
        <v>5.0174950517498117E-2</v>
      </c>
      <c r="C9" s="37">
        <f>Income_Statement!C20/Balance_Sheet!C7</f>
        <v>7.787834275194519E-2</v>
      </c>
      <c r="D9" s="37">
        <f>Income_Statement!D20/Balance_Sheet!D7</f>
        <v>9.3175875016762777E-2</v>
      </c>
      <c r="E9" s="37">
        <f>Income_Statement!E20/Balance_Sheet!E7</f>
        <v>8.7741231359036956E-2</v>
      </c>
      <c r="F9" s="37">
        <f>Income_Statement!F20/Balance_Sheet!F7</f>
        <v>8.259962049335863E-2</v>
      </c>
      <c r="G9" s="37">
        <f t="shared" si="0"/>
        <v>7.8314004027720333E-2</v>
      </c>
    </row>
    <row r="10" spans="1:7">
      <c r="A10" s="36" t="s">
        <v>109</v>
      </c>
      <c r="B10" s="37">
        <f>Income_Statement!B17/Balance_Sheet!B7</f>
        <v>0.11538593374199482</v>
      </c>
      <c r="C10" s="37">
        <f>Income_Statement!C17/Balance_Sheet!C7</f>
        <v>0.13929838290666274</v>
      </c>
      <c r="D10" s="37">
        <f>Income_Statement!D17/Balance_Sheet!D7</f>
        <v>0.19880369675025703</v>
      </c>
      <c r="E10" s="37">
        <f>Income_Statement!E17/Balance_Sheet!E7</f>
        <v>0.20479129304923496</v>
      </c>
      <c r="F10" s="37">
        <f>Income_Statement!F17/Balance_Sheet!F7</f>
        <v>0.19639231499051232</v>
      </c>
      <c r="G10" s="37">
        <f t="shared" si="0"/>
        <v>0.17093432428773236</v>
      </c>
    </row>
    <row r="11" spans="1:7">
      <c r="A11" s="36" t="s">
        <v>110</v>
      </c>
      <c r="B11" s="37">
        <f>Balance_Sheet!B20/Balance_Sheet!B21</f>
        <v>0.21819077090900826</v>
      </c>
      <c r="C11" s="37">
        <f>Balance_Sheet!C20/Balance_Sheet!C21</f>
        <v>0.20288905407767935</v>
      </c>
      <c r="D11" s="37">
        <f>Balance_Sheet!D20/Balance_Sheet!D21</f>
        <v>0.21904785034018689</v>
      </c>
      <c r="E11" s="37">
        <f>Balance_Sheet!E20/Balance_Sheet!E21</f>
        <v>0.23391724898692229</v>
      </c>
      <c r="F11" s="37">
        <f>Balance_Sheet!F20/Balance_Sheet!F21</f>
        <v>0.22853671283927429</v>
      </c>
      <c r="G11" s="37">
        <f t="shared" si="0"/>
        <v>0.22051632743061425</v>
      </c>
    </row>
    <row r="13" spans="1:7">
      <c r="A13" s="14" t="s">
        <v>111</v>
      </c>
      <c r="B13" s="14"/>
      <c r="C13" s="14"/>
      <c r="D13" s="14"/>
      <c r="E13" s="14"/>
      <c r="F13" s="14"/>
      <c r="G13" s="14"/>
    </row>
    <row r="14" spans="1:7">
      <c r="A14" s="36" t="s">
        <v>75</v>
      </c>
      <c r="B14" s="71">
        <f>Balance_Sheet!B24</f>
        <v>-52905</v>
      </c>
      <c r="C14" s="71">
        <f>Balance_Sheet!C24</f>
        <v>-95925</v>
      </c>
      <c r="D14" s="71">
        <f>Balance_Sheet!D24</f>
        <v>-86581</v>
      </c>
      <c r="E14" s="71">
        <f>Balance_Sheet!E24</f>
        <v>-200312</v>
      </c>
      <c r="F14" s="71">
        <f>Balance_Sheet!F24</f>
        <v>-286619</v>
      </c>
      <c r="G14" s="36"/>
    </row>
    <row r="15" spans="1:7">
      <c r="A15" s="36" t="s">
        <v>123</v>
      </c>
      <c r="B15" s="37">
        <f>-(Balance_Sheet!B24/Income_Statement!B5)</f>
        <v>0.1134552987624033</v>
      </c>
      <c r="C15" s="37">
        <f>-(Balance_Sheet!C24/Income_Statement!C5)</f>
        <v>0.13808655295369188</v>
      </c>
      <c r="D15" s="37">
        <f>-(Balance_Sheet!D24/Income_Statement!D5)</f>
        <v>9.8792098549057739E-2</v>
      </c>
      <c r="E15" s="37">
        <f>-(Balance_Sheet!E24/Income_Statement!E5)</f>
        <v>0.22280630138113836</v>
      </c>
      <c r="F15" s="37">
        <f>-(Balance_Sheet!F24/Income_Statement!F5)</f>
        <v>0.29768700276271787</v>
      </c>
      <c r="G15" s="37">
        <f>SUM(B15:F15)/5</f>
        <v>0.17416545088180183</v>
      </c>
    </row>
    <row r="16" spans="1:7">
      <c r="A16" s="36" t="s">
        <v>124</v>
      </c>
      <c r="B16" s="70">
        <f>Cash_Flow!B19</f>
        <v>6316</v>
      </c>
      <c r="C16" s="70">
        <f>Cash_Flow!C19</f>
        <v>5258</v>
      </c>
      <c r="D16" s="70">
        <f>Cash_Flow!D19</f>
        <v>51267</v>
      </c>
      <c r="E16" s="70">
        <f>Cash_Flow!E19</f>
        <v>61047</v>
      </c>
      <c r="F16" s="70">
        <f>Cash_Flow!F19</f>
        <v>37838</v>
      </c>
      <c r="G16" s="36"/>
    </row>
    <row r="18" spans="1:7">
      <c r="A18" s="14" t="s">
        <v>113</v>
      </c>
      <c r="B18" s="14"/>
      <c r="C18" s="14"/>
      <c r="D18" s="14"/>
      <c r="E18" s="14"/>
      <c r="F18" s="14"/>
      <c r="G18" s="14"/>
    </row>
    <row r="19" spans="1:7">
      <c r="A19" s="36" t="s">
        <v>112</v>
      </c>
      <c r="B19" s="37">
        <f>Balance_Sheet!B10/Balance_Sheet!B7</f>
        <v>0.39841924555680602</v>
      </c>
      <c r="C19" s="37">
        <f>Balance_Sheet!C10/Balance_Sheet!C7</f>
        <v>0.40944726325715053</v>
      </c>
      <c r="D19" s="37">
        <f>Balance_Sheet!D10/Balance_Sheet!D7</f>
        <v>0.63092843413347632</v>
      </c>
      <c r="E19" s="37">
        <f>Balance_Sheet!E10/Balance_Sheet!E7</f>
        <v>0.44200050158730958</v>
      </c>
      <c r="F19" s="37">
        <f>Balance_Sheet!F10/Balance_Sheet!F7</f>
        <v>0.44391959203036052</v>
      </c>
      <c r="G19" s="37">
        <f>SUM(B19:F19)/5</f>
        <v>0.46494300731302057</v>
      </c>
    </row>
    <row r="20" spans="1:7">
      <c r="A20" s="36" t="s">
        <v>114</v>
      </c>
      <c r="B20" s="37">
        <f>Balance_Sheet!B10/Income_Statement!B18</f>
        <v>2.5983308805722696</v>
      </c>
      <c r="C20" s="37">
        <f>Balance_Sheet!C10/Income_Statement!C18</f>
        <v>2.3066715812753409</v>
      </c>
      <c r="D20" s="37">
        <f>Balance_Sheet!D10/Income_Statement!D18</f>
        <v>2.4732314465477683</v>
      </c>
      <c r="E20" s="37">
        <f>Balance_Sheet!E10/Income_Statement!E18</f>
        <v>1.6440210003281301</v>
      </c>
      <c r="F20" s="37">
        <f>Balance_Sheet!F10/Income_Statement!F18</f>
        <v>1.7112703100569642</v>
      </c>
      <c r="G20" s="37">
        <f t="shared" ref="G20:G21" si="1">SUM(B20:F20)/5</f>
        <v>2.1467050437560946</v>
      </c>
    </row>
    <row r="21" spans="1:7">
      <c r="A21" s="36" t="s">
        <v>115</v>
      </c>
      <c r="B21" s="37">
        <f>Income_Statement!B17/Income_Statement!B11</f>
        <v>3.8128274104488176</v>
      </c>
      <c r="C21" s="37">
        <f>Income_Statement!C17/Income_Statement!C11</f>
        <v>7.445213933077345</v>
      </c>
      <c r="D21" s="37">
        <f>Income_Statement!D17/Income_Statement!D11</f>
        <v>7.2718818660262636</v>
      </c>
      <c r="E21" s="37">
        <f>Income_Statement!E17/Income_Statement!E11</f>
        <v>7.02906825849987</v>
      </c>
      <c r="F21" s="37">
        <f>Income_Statement!F17/Income_Statement!F11</f>
        <v>6.8234373068523633</v>
      </c>
      <c r="G21" s="37">
        <f t="shared" si="1"/>
        <v>6.4764857549809323</v>
      </c>
    </row>
    <row r="23" spans="1:7">
      <c r="A23" s="14" t="s">
        <v>78</v>
      </c>
      <c r="B23" s="14"/>
      <c r="C23" s="14"/>
      <c r="D23" s="14"/>
      <c r="E23" s="14"/>
      <c r="F23" s="14"/>
      <c r="G23" s="14"/>
    </row>
    <row r="24" spans="1:7">
      <c r="A24" s="36" t="s">
        <v>116</v>
      </c>
      <c r="B24" s="37">
        <f>Income_Statement!B5/Balance_Sheet!B21</f>
        <v>0.35324548412388784</v>
      </c>
      <c r="C24" s="37">
        <f>Income_Statement!C5/Balance_Sheet!C21</f>
        <v>0.4635411731577409</v>
      </c>
      <c r="D24" s="37">
        <f>Income_Statement!D5/Balance_Sheet!D21</f>
        <v>0.54574121884422389</v>
      </c>
      <c r="E24" s="37">
        <f>Income_Statement!E5/Balance_Sheet!E21</f>
        <v>0.5122600635424216</v>
      </c>
      <c r="F24" s="37">
        <f>Income_Statement!F5/Balance_Sheet!F21</f>
        <v>0.49382652728888815</v>
      </c>
      <c r="G24" s="37">
        <f>SUM(B24:F24)/5</f>
        <v>0.47372289339143248</v>
      </c>
    </row>
    <row r="25" spans="1:7">
      <c r="A25" s="36" t="s">
        <v>80</v>
      </c>
      <c r="B25" s="70">
        <f>Balance_Sheet!B26</f>
        <v>81672</v>
      </c>
      <c r="C25" s="70">
        <f>Balance_Sheet!C26</f>
        <v>107778</v>
      </c>
      <c r="D25" s="70">
        <f>Balance_Sheet!D26</f>
        <v>140008</v>
      </c>
      <c r="E25" s="70">
        <f>Balance_Sheet!E26</f>
        <v>152770</v>
      </c>
      <c r="F25" s="70">
        <f>Balance_Sheet!F26</f>
        <v>146062</v>
      </c>
      <c r="G25" s="36"/>
    </row>
    <row r="26" spans="1:7">
      <c r="A26" s="36" t="s">
        <v>79</v>
      </c>
      <c r="B26" s="70">
        <f>Balance_Sheet!B25</f>
        <v>19014</v>
      </c>
      <c r="C26" s="70">
        <f>Balance_Sheet!C25</f>
        <v>23640</v>
      </c>
      <c r="D26" s="70">
        <f>Balance_Sheet!D25</f>
        <v>28448</v>
      </c>
      <c r="E26" s="70">
        <f>Balance_Sheet!E25</f>
        <v>31628</v>
      </c>
      <c r="F26" s="70">
        <f>Balance_Sheet!F25</f>
        <v>42121</v>
      </c>
      <c r="G26" s="36"/>
    </row>
    <row r="28" spans="1:7">
      <c r="A28" s="14" t="s">
        <v>117</v>
      </c>
      <c r="B28" s="14"/>
      <c r="C28" s="14"/>
      <c r="D28" s="14"/>
      <c r="E28" s="14"/>
      <c r="F28" s="14"/>
      <c r="G28" s="14"/>
    </row>
    <row r="29" spans="1:7">
      <c r="A29" s="36" t="s">
        <v>118</v>
      </c>
      <c r="B29" s="70">
        <f>Income_Statement!B30</f>
        <v>23.71177280166097</v>
      </c>
      <c r="C29" s="70">
        <f>Income_Statement!C30</f>
        <v>26.935011280784121</v>
      </c>
      <c r="D29" s="70">
        <f>Income_Statement!D30</f>
        <v>21.690045803724026</v>
      </c>
      <c r="E29" s="70">
        <f>Income_Statement!E30</f>
        <v>28.87868701972106</v>
      </c>
      <c r="F29" s="70">
        <f>Income_Statement!F30</f>
        <v>24.774815127498275</v>
      </c>
    </row>
    <row r="30" spans="1:7">
      <c r="A30" s="36" t="s">
        <v>119</v>
      </c>
      <c r="B30" s="36">
        <f>Income_Statement!B31/Balance_Sheet!B7</f>
        <v>1.7741220157332771</v>
      </c>
      <c r="C30" s="36">
        <f>Income_Statement!C31/Balance_Sheet!C7</f>
        <v>2.0961346530080758</v>
      </c>
      <c r="D30" s="36">
        <f>Income_Statement!D31/Balance_Sheet!D7</f>
        <v>2.0193161906039072</v>
      </c>
      <c r="E30" s="36">
        <f>Income_Statement!E31/Balance_Sheet!E7</f>
        <v>2.5317168274980748</v>
      </c>
      <c r="F30" s="36">
        <f>Income_Statement!F31/Balance_Sheet!F7</f>
        <v>2.0445151802656545</v>
      </c>
    </row>
    <row r="31" spans="1:7">
      <c r="A31" s="36" t="s">
        <v>120</v>
      </c>
      <c r="B31" s="36">
        <f>(Income_Statement!B31+Balance_Sheet!B10+Cash_Flow!B18)/Income_Statement!B18</f>
        <v>14.042487658575661</v>
      </c>
      <c r="C31" s="36">
        <f>(Income_Statement!C31+Balance_Sheet!C10+Cash_Flow!C18)/Income_Statement!C18</f>
        <v>14.251241444605856</v>
      </c>
      <c r="D31" s="36">
        <f>(Income_Statement!D31+Balance_Sheet!D10+Cash_Flow!D18)/Income_Statement!D18</f>
        <v>10.566812798090034</v>
      </c>
      <c r="E31" s="36">
        <f>(Income_Statement!E31+Balance_Sheet!E10+Cash_Flow!E18)/Income_Statement!E18</f>
        <v>11.194624291004548</v>
      </c>
      <c r="F31" s="36">
        <f>(Income_Statement!F31+Balance_Sheet!F10+Cash_Flow!F18)/Income_Statement!F18</f>
        <v>9.635105653442082</v>
      </c>
    </row>
    <row r="32" spans="1:7">
      <c r="A32" s="36" t="s">
        <v>121</v>
      </c>
      <c r="B32" s="36">
        <f>Income_Statement!B31/Income_Statement!B5</f>
        <v>2.6638900123738227</v>
      </c>
      <c r="C32" s="36">
        <f>Income_Statement!C31/Income_Statement!C5</f>
        <v>2.3520498421559495</v>
      </c>
      <c r="D32" s="36">
        <f>Income_Statement!D31/Income_Statement!D5</f>
        <v>1.6494506136495377</v>
      </c>
      <c r="E32" s="36">
        <f>Income_Statement!E31/Income_Statement!E5</f>
        <v>2.2344578278409992</v>
      </c>
      <c r="F32" s="36">
        <f>Income_Statement!F31/Income_Statement!F5</f>
        <v>1.7905062213082403</v>
      </c>
    </row>
  </sheetData>
  <mergeCells count="7">
    <mergeCell ref="A28:G28"/>
    <mergeCell ref="A1:G1"/>
    <mergeCell ref="A2:G2"/>
    <mergeCell ref="A4:G4"/>
    <mergeCell ref="A13:G13"/>
    <mergeCell ref="A18:G18"/>
    <mergeCell ref="A23:G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82101-91C0-4E1A-A48F-C7F5E9E950DD}">
  <dimension ref="B1:AC34"/>
  <sheetViews>
    <sheetView showGridLines="0" zoomScale="60" zoomScaleNormal="60" workbookViewId="0">
      <selection activeCell="K13" sqref="K13"/>
    </sheetView>
  </sheetViews>
  <sheetFormatPr defaultRowHeight="14.5"/>
  <cols>
    <col min="1" max="1" width="8.7265625" style="38"/>
    <col min="2" max="2" width="24.6328125" style="38" customWidth="1"/>
    <col min="3" max="3" width="8.7265625" style="38"/>
    <col min="4" max="4" width="24.6328125" style="38" customWidth="1"/>
    <col min="5" max="5" width="8.7265625" style="38"/>
    <col min="6" max="6" width="24.6328125" style="38" customWidth="1"/>
    <col min="7" max="7" width="8.7265625" style="38"/>
    <col min="8" max="8" width="24.6328125" style="38" customWidth="1"/>
    <col min="9" max="11" width="8.7265625" style="38"/>
    <col min="12" max="16" width="9.90625" style="38" bestFit="1" customWidth="1"/>
    <col min="17" max="21" width="8.7265625" style="38"/>
    <col min="22" max="22" width="10.453125" style="38" bestFit="1" customWidth="1"/>
    <col min="23" max="16384" width="8.7265625" style="38"/>
  </cols>
  <sheetData>
    <row r="1" spans="2:29" ht="20">
      <c r="B1" s="58" t="s">
        <v>140</v>
      </c>
      <c r="C1" s="58"/>
      <c r="D1" s="58"/>
      <c r="E1" s="58"/>
      <c r="F1" s="58"/>
      <c r="G1" s="58"/>
      <c r="H1" s="58"/>
    </row>
    <row r="2" spans="2:29" ht="15.5">
      <c r="B2" s="59" t="s">
        <v>141</v>
      </c>
      <c r="C2" s="59"/>
      <c r="D2" s="59"/>
      <c r="E2" s="59"/>
      <c r="F2" s="59"/>
      <c r="G2" s="59"/>
      <c r="H2" s="59"/>
    </row>
    <row r="3" spans="2:29" s="18" customFormat="1" ht="15.5">
      <c r="B3" s="52"/>
      <c r="C3" s="53"/>
      <c r="D3" s="53"/>
      <c r="E3" s="53"/>
      <c r="F3" s="53"/>
      <c r="G3" s="53"/>
      <c r="H3" s="54"/>
    </row>
    <row r="4" spans="2:29" ht="18">
      <c r="B4" s="48" t="s">
        <v>125</v>
      </c>
      <c r="C4" s="55"/>
      <c r="D4" s="49" t="s">
        <v>126</v>
      </c>
      <c r="E4" s="55"/>
      <c r="F4" s="50" t="s">
        <v>127</v>
      </c>
      <c r="G4" s="55"/>
      <c r="H4" s="51" t="s">
        <v>128</v>
      </c>
    </row>
    <row r="5" spans="2:29" ht="23">
      <c r="B5" s="39">
        <f>Income_Statement!F5</f>
        <v>962820</v>
      </c>
      <c r="C5" s="55"/>
      <c r="D5" s="39">
        <f>Income_Statement!F20</f>
        <v>69648</v>
      </c>
      <c r="E5" s="55"/>
      <c r="F5" s="40">
        <f>Income_Statement!G5</f>
        <v>0.19872149229003844</v>
      </c>
      <c r="G5" s="55"/>
      <c r="H5" s="41">
        <f>Ratio_Analysis!F10</f>
        <v>0.19639231499051232</v>
      </c>
    </row>
    <row r="6" spans="2:29">
      <c r="B6" s="56"/>
      <c r="C6" s="55"/>
      <c r="D6" s="55"/>
      <c r="E6" s="55"/>
      <c r="F6" s="55"/>
      <c r="G6" s="55"/>
      <c r="H6" s="57"/>
      <c r="V6" s="42" t="s">
        <v>21</v>
      </c>
      <c r="W6" s="42" t="s">
        <v>22</v>
      </c>
      <c r="X6" s="42" t="s">
        <v>23</v>
      </c>
      <c r="Y6" s="42" t="s">
        <v>24</v>
      </c>
      <c r="Z6" s="42" t="s">
        <v>25</v>
      </c>
    </row>
    <row r="7" spans="2:29">
      <c r="B7" s="56"/>
      <c r="C7" s="55"/>
      <c r="D7" s="55"/>
      <c r="E7" s="55"/>
      <c r="F7" s="55"/>
      <c r="G7" s="55"/>
      <c r="H7" s="57"/>
      <c r="U7" s="43" t="s">
        <v>129</v>
      </c>
      <c r="V7" s="44">
        <f>Income_Statement!B5</f>
        <v>466307</v>
      </c>
      <c r="W7" s="44">
        <f>Income_Statement!C5</f>
        <v>694673</v>
      </c>
      <c r="X7" s="44">
        <f>Income_Statement!D5</f>
        <v>876396</v>
      </c>
      <c r="Y7" s="44">
        <f>Income_Statement!E5</f>
        <v>899041</v>
      </c>
      <c r="Z7" s="44">
        <f>Income_Statement!F5</f>
        <v>962820</v>
      </c>
    </row>
    <row r="8" spans="2:29">
      <c r="B8" s="56"/>
      <c r="C8" s="55"/>
      <c r="D8" s="55"/>
      <c r="E8" s="55"/>
      <c r="F8" s="55"/>
      <c r="G8" s="55"/>
      <c r="H8" s="57"/>
      <c r="U8" s="43" t="s">
        <v>34</v>
      </c>
      <c r="V8" s="44">
        <f>Income_Statement!B18</f>
        <v>107362</v>
      </c>
      <c r="W8" s="44">
        <f>Income_Statement!C18</f>
        <v>138363</v>
      </c>
      <c r="X8" s="44">
        <f>Income_Statement!D18</f>
        <v>182621</v>
      </c>
      <c r="Y8" s="44">
        <f>Income_Statement!E18</f>
        <v>213330</v>
      </c>
      <c r="Z8" s="44">
        <f>Income_Statement!F18</f>
        <v>218734</v>
      </c>
    </row>
    <row r="9" spans="2:29">
      <c r="B9" s="56"/>
      <c r="C9" s="55"/>
      <c r="D9" s="55"/>
      <c r="E9" s="55"/>
      <c r="F9" s="55"/>
      <c r="G9" s="55"/>
      <c r="H9" s="57"/>
      <c r="U9" s="43" t="s">
        <v>52</v>
      </c>
      <c r="V9" s="44">
        <f>Income_Statement!B20</f>
        <v>49128</v>
      </c>
      <c r="W9" s="44">
        <f>Income_Statement!C20</f>
        <v>60705</v>
      </c>
      <c r="X9" s="44">
        <f>Income_Statement!D20</f>
        <v>66702</v>
      </c>
      <c r="Y9" s="44">
        <f>Income_Statement!E20</f>
        <v>69621</v>
      </c>
      <c r="Z9" s="44">
        <f>Income_Statement!F20</f>
        <v>69648</v>
      </c>
    </row>
    <row r="10" spans="2:29">
      <c r="B10" s="56"/>
      <c r="C10" s="55"/>
      <c r="D10" s="55"/>
      <c r="E10" s="55"/>
      <c r="F10" s="55"/>
      <c r="G10" s="55"/>
      <c r="H10" s="57"/>
    </row>
    <row r="11" spans="2:29" ht="14.5" customHeight="1">
      <c r="B11" s="56"/>
      <c r="C11" s="55"/>
      <c r="D11" s="55"/>
      <c r="E11" s="55"/>
      <c r="F11" s="55"/>
      <c r="G11" s="55"/>
      <c r="H11" s="57"/>
      <c r="V11" s="42" t="s">
        <v>21</v>
      </c>
      <c r="W11" s="42" t="s">
        <v>22</v>
      </c>
      <c r="X11" s="42" t="s">
        <v>23</v>
      </c>
      <c r="Y11" s="42" t="s">
        <v>24</v>
      </c>
      <c r="Z11" s="42" t="s">
        <v>25</v>
      </c>
    </row>
    <row r="12" spans="2:29">
      <c r="B12" s="56"/>
      <c r="C12" s="55"/>
      <c r="D12" s="55"/>
      <c r="E12" s="55"/>
      <c r="F12" s="55"/>
      <c r="G12" s="55"/>
      <c r="H12" s="57"/>
      <c r="U12" s="43" t="s">
        <v>130</v>
      </c>
      <c r="V12" s="45">
        <f>Income_Statement!B24</f>
        <v>0.17325495864312568</v>
      </c>
      <c r="W12" s="45">
        <f>Income_Statement!C24</f>
        <v>0.15630519683361813</v>
      </c>
      <c r="X12" s="45">
        <f>Income_Statement!D24</f>
        <v>0.16239006111392568</v>
      </c>
      <c r="Y12" s="45">
        <f>Income_Statement!E24</f>
        <v>0.18074592816122959</v>
      </c>
      <c r="Z12" s="45">
        <f>Income_Statement!F24</f>
        <v>0.17199268814524002</v>
      </c>
    </row>
    <row r="13" spans="2:29" ht="14.5" customHeight="1">
      <c r="B13" s="56"/>
      <c r="C13" s="55"/>
      <c r="D13" s="55"/>
      <c r="E13" s="55"/>
      <c r="F13" s="55"/>
      <c r="G13" s="55"/>
      <c r="H13" s="57"/>
      <c r="U13" s="43" t="s">
        <v>131</v>
      </c>
      <c r="V13" s="45">
        <f>Income_Statement!B25</f>
        <v>0.10051990939949544</v>
      </c>
      <c r="W13" s="45">
        <f>Income_Statement!C25</f>
        <v>8.4988512795527757E-2</v>
      </c>
      <c r="X13" s="45">
        <f>Income_Statement!D25</f>
        <v>7.5079692396354855E-2</v>
      </c>
      <c r="Y13" s="45">
        <f>Income_Statement!E25</f>
        <v>7.6102414320427886E-2</v>
      </c>
      <c r="Z13" s="45">
        <f>Income_Statement!F25</f>
        <v>7.1022715684794888E-2</v>
      </c>
    </row>
    <row r="14" spans="2:29" ht="14.5" customHeight="1">
      <c r="B14" s="56"/>
      <c r="C14" s="55"/>
      <c r="D14" s="55"/>
      <c r="E14" s="55"/>
      <c r="F14" s="55"/>
      <c r="G14" s="55"/>
      <c r="H14" s="57"/>
      <c r="U14" s="43" t="s">
        <v>107</v>
      </c>
      <c r="V14" s="46">
        <f>Ratio_Analysis!B8</f>
        <v>0.2302388769630308</v>
      </c>
      <c r="W14" s="46">
        <f>Ratio_Analysis!C8</f>
        <v>0.1991771668108592</v>
      </c>
      <c r="X14" s="46">
        <f>Ratio_Analysis!D8</f>
        <v>0.20837726324629505</v>
      </c>
      <c r="Y14" s="46">
        <f>Ratio_Analysis!E8</f>
        <v>0.23728617493529217</v>
      </c>
      <c r="Z14" s="46">
        <f>Ratio_Analysis!F8</f>
        <v>0.22718057373133088</v>
      </c>
    </row>
    <row r="15" spans="2:29">
      <c r="B15" s="56"/>
      <c r="C15" s="55"/>
      <c r="D15" s="55"/>
      <c r="E15" s="55"/>
      <c r="F15" s="55"/>
      <c r="G15" s="55"/>
      <c r="H15" s="57"/>
    </row>
    <row r="16" spans="2:29">
      <c r="B16" s="56"/>
      <c r="C16" s="55"/>
      <c r="D16" s="55"/>
      <c r="E16" s="55"/>
      <c r="F16" s="55"/>
      <c r="G16" s="55"/>
      <c r="H16" s="57"/>
      <c r="U16" s="43" t="s">
        <v>132</v>
      </c>
      <c r="V16" s="38" t="s">
        <v>133</v>
      </c>
      <c r="Y16" s="42" t="s">
        <v>21</v>
      </c>
      <c r="Z16" s="42" t="s">
        <v>22</v>
      </c>
      <c r="AA16" s="42" t="s">
        <v>23</v>
      </c>
      <c r="AB16" s="42" t="s">
        <v>24</v>
      </c>
      <c r="AC16" s="42" t="s">
        <v>25</v>
      </c>
    </row>
    <row r="17" spans="2:29" ht="29">
      <c r="B17" s="56"/>
      <c r="C17" s="55"/>
      <c r="D17" s="55"/>
      <c r="E17" s="55"/>
      <c r="F17" s="55"/>
      <c r="G17" s="55"/>
      <c r="H17" s="57"/>
      <c r="U17" s="43" t="s">
        <v>134</v>
      </c>
      <c r="V17" s="47">
        <f>Cash_Flow!F5</f>
        <v>178703</v>
      </c>
      <c r="X17" s="43" t="s">
        <v>137</v>
      </c>
      <c r="Y17" s="46">
        <f>Ratio_Analysis!B9</f>
        <v>5.0174950517498117E-2</v>
      </c>
      <c r="Z17" s="46">
        <f>Ratio_Analysis!C9</f>
        <v>7.787834275194519E-2</v>
      </c>
      <c r="AA17" s="46">
        <f>Ratio_Analysis!D9</f>
        <v>9.3175875016762777E-2</v>
      </c>
      <c r="AB17" s="46">
        <f>Ratio_Analysis!E9</f>
        <v>8.7741231359036956E-2</v>
      </c>
      <c r="AC17" s="46">
        <f>Ratio_Analysis!F9</f>
        <v>8.259962049335863E-2</v>
      </c>
    </row>
    <row r="18" spans="2:29">
      <c r="B18" s="56"/>
      <c r="C18" s="55"/>
      <c r="D18" s="55"/>
      <c r="E18" s="55"/>
      <c r="F18" s="55"/>
      <c r="G18" s="55"/>
      <c r="H18" s="57"/>
      <c r="U18" s="38" t="s">
        <v>135</v>
      </c>
      <c r="V18" s="47">
        <f>Cash_Flow!F8</f>
        <v>-137535</v>
      </c>
      <c r="X18" s="43" t="s">
        <v>138</v>
      </c>
      <c r="Y18" s="46">
        <f>Ratio_Analysis!B10</f>
        <v>0.11538593374199482</v>
      </c>
      <c r="Z18" s="46">
        <f>Ratio_Analysis!C10</f>
        <v>0.13929838290666274</v>
      </c>
      <c r="AA18" s="46">
        <f>Ratio_Analysis!D10</f>
        <v>0.19880369675025703</v>
      </c>
      <c r="AB18" s="46">
        <f>Ratio_Analysis!E10</f>
        <v>0.20479129304923496</v>
      </c>
      <c r="AC18" s="46">
        <f>Ratio_Analysis!F10</f>
        <v>0.19639231499051232</v>
      </c>
    </row>
    <row r="19" spans="2:29">
      <c r="B19" s="56"/>
      <c r="C19" s="55"/>
      <c r="D19" s="55"/>
      <c r="E19" s="55"/>
      <c r="F19" s="55"/>
      <c r="G19" s="55"/>
      <c r="H19" s="57"/>
      <c r="U19" s="38" t="s">
        <v>136</v>
      </c>
      <c r="V19" s="47">
        <f>Cash_Flow!F11</f>
        <v>-31891</v>
      </c>
      <c r="X19" s="43" t="s">
        <v>139</v>
      </c>
      <c r="Y19" s="46">
        <f>Ratio_Analysis!B11</f>
        <v>0.21819077090900826</v>
      </c>
      <c r="Z19" s="46">
        <f>Ratio_Analysis!C11</f>
        <v>0.20288905407767935</v>
      </c>
      <c r="AA19" s="46">
        <f>Ratio_Analysis!D11</f>
        <v>0.21904785034018689</v>
      </c>
      <c r="AB19" s="46">
        <f>Ratio_Analysis!E11</f>
        <v>0.23391724898692229</v>
      </c>
      <c r="AC19" s="46">
        <f>Ratio_Analysis!F11</f>
        <v>0.22853671283927429</v>
      </c>
    </row>
    <row r="20" spans="2:29">
      <c r="B20" s="56"/>
      <c r="C20" s="55"/>
      <c r="D20" s="55"/>
      <c r="E20" s="55"/>
      <c r="F20" s="55"/>
      <c r="G20" s="55"/>
      <c r="H20" s="57"/>
      <c r="U20" s="38" t="s">
        <v>92</v>
      </c>
      <c r="V20" s="47">
        <f>Cash_Flow!F14</f>
        <v>9277</v>
      </c>
    </row>
    <row r="21" spans="2:29">
      <c r="B21" s="56"/>
      <c r="C21" s="55"/>
      <c r="D21" s="55"/>
      <c r="E21" s="55"/>
      <c r="F21" s="55"/>
      <c r="G21" s="55"/>
      <c r="H21" s="57"/>
    </row>
    <row r="22" spans="2:29">
      <c r="B22" s="56"/>
      <c r="C22" s="55"/>
      <c r="D22" s="55"/>
      <c r="E22" s="55"/>
      <c r="F22" s="55"/>
      <c r="G22" s="55"/>
      <c r="H22" s="57"/>
    </row>
    <row r="23" spans="2:29">
      <c r="B23" s="56"/>
      <c r="C23" s="55"/>
      <c r="D23" s="55"/>
      <c r="E23" s="55"/>
      <c r="F23" s="55"/>
      <c r="G23" s="55"/>
      <c r="H23" s="57"/>
    </row>
    <row r="24" spans="2:29">
      <c r="B24" s="56"/>
      <c r="C24" s="55"/>
      <c r="D24" s="55"/>
      <c r="E24" s="55"/>
      <c r="F24" s="55"/>
      <c r="G24" s="55"/>
      <c r="H24" s="57"/>
    </row>
    <row r="25" spans="2:29">
      <c r="B25" s="56"/>
      <c r="C25" s="55"/>
      <c r="D25" s="55"/>
      <c r="E25" s="55"/>
      <c r="F25" s="55"/>
      <c r="G25" s="55"/>
      <c r="H25" s="57"/>
    </row>
    <row r="26" spans="2:29">
      <c r="B26" s="56"/>
      <c r="C26" s="55"/>
      <c r="D26" s="55"/>
      <c r="E26" s="55"/>
      <c r="F26" s="55"/>
      <c r="G26" s="55"/>
      <c r="H26" s="57"/>
    </row>
    <row r="27" spans="2:29">
      <c r="B27" s="56"/>
      <c r="C27" s="55"/>
      <c r="D27" s="55"/>
      <c r="E27" s="55"/>
      <c r="F27" s="55"/>
      <c r="G27" s="55"/>
      <c r="H27" s="57"/>
    </row>
    <row r="28" spans="2:29">
      <c r="B28" s="56"/>
      <c r="C28" s="55"/>
      <c r="D28" s="55"/>
      <c r="E28" s="55"/>
      <c r="F28" s="55"/>
      <c r="G28" s="55"/>
      <c r="H28" s="57"/>
    </row>
    <row r="29" spans="2:29">
      <c r="B29" s="56"/>
      <c r="C29" s="55"/>
      <c r="D29" s="55"/>
      <c r="E29" s="55"/>
      <c r="F29" s="55"/>
      <c r="G29" s="55"/>
      <c r="H29" s="57"/>
    </row>
    <row r="30" spans="2:29">
      <c r="B30" s="56"/>
      <c r="C30" s="55"/>
      <c r="D30" s="55"/>
      <c r="E30" s="55"/>
      <c r="F30" s="55"/>
      <c r="G30" s="55"/>
      <c r="H30" s="57"/>
    </row>
    <row r="31" spans="2:29">
      <c r="B31" s="56"/>
      <c r="C31" s="55"/>
      <c r="D31" s="55"/>
      <c r="E31" s="55"/>
      <c r="F31" s="55"/>
      <c r="G31" s="55"/>
      <c r="H31" s="57"/>
    </row>
    <row r="32" spans="2:29">
      <c r="B32" s="56"/>
      <c r="C32" s="55"/>
      <c r="D32" s="55"/>
      <c r="E32" s="55"/>
      <c r="F32" s="55"/>
      <c r="G32" s="55"/>
      <c r="H32" s="57"/>
    </row>
    <row r="33" spans="2:8">
      <c r="B33" s="56"/>
      <c r="C33" s="55"/>
      <c r="D33" s="55"/>
      <c r="E33" s="55"/>
      <c r="F33" s="55"/>
      <c r="G33" s="55"/>
      <c r="H33" s="57"/>
    </row>
    <row r="34" spans="2:8">
      <c r="B34" s="60" t="s">
        <v>142</v>
      </c>
      <c r="C34" s="60"/>
      <c r="D34" s="60"/>
      <c r="E34" s="60"/>
      <c r="F34" s="60"/>
      <c r="G34" s="60"/>
      <c r="H34" s="60"/>
    </row>
  </sheetData>
  <mergeCells count="3">
    <mergeCell ref="B1:H1"/>
    <mergeCell ref="B2:H2"/>
    <mergeCell ref="B34:H3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95DB4-7B16-4297-A796-0AD477A5532E}">
  <dimension ref="A1:G31"/>
  <sheetViews>
    <sheetView showGridLines="0" topLeftCell="A4" workbookViewId="0">
      <selection activeCell="G33" sqref="G33"/>
    </sheetView>
  </sheetViews>
  <sheetFormatPr defaultRowHeight="14.5"/>
  <cols>
    <col min="1" max="1" width="18.26953125" bestFit="1" customWidth="1"/>
    <col min="2" max="6" width="18.6328125" customWidth="1"/>
    <col min="7" max="7" width="28.08984375" customWidth="1"/>
  </cols>
  <sheetData>
    <row r="1" spans="1:7" ht="19">
      <c r="A1" s="15" t="s">
        <v>166</v>
      </c>
      <c r="B1" s="15"/>
      <c r="C1" s="15"/>
      <c r="D1" s="15"/>
      <c r="E1" s="15"/>
      <c r="F1" s="15"/>
      <c r="G1" s="15"/>
    </row>
    <row r="2" spans="1:7">
      <c r="A2" s="26" t="s">
        <v>143</v>
      </c>
      <c r="B2" s="2"/>
      <c r="C2" s="2"/>
      <c r="D2" s="2"/>
      <c r="E2" s="2"/>
      <c r="F2" s="2"/>
      <c r="G2" s="2"/>
    </row>
    <row r="3" spans="1:7">
      <c r="A3" s="61"/>
      <c r="B3" s="61"/>
      <c r="C3" s="61"/>
      <c r="D3" s="61"/>
      <c r="E3" s="61"/>
      <c r="F3" s="61"/>
      <c r="G3" s="61"/>
    </row>
    <row r="4" spans="1:7">
      <c r="A4" s="62" t="s">
        <v>144</v>
      </c>
      <c r="B4" s="62"/>
      <c r="C4" s="62"/>
      <c r="D4" s="62"/>
      <c r="E4" s="62"/>
      <c r="F4" s="62"/>
      <c r="G4" s="62"/>
    </row>
    <row r="5" spans="1:7">
      <c r="A5" t="s">
        <v>4</v>
      </c>
      <c r="B5" s="66" t="s">
        <v>167</v>
      </c>
      <c r="C5" s="67"/>
      <c r="D5" s="67"/>
      <c r="E5" s="67"/>
      <c r="F5" s="67"/>
      <c r="G5" s="67"/>
    </row>
    <row r="6" spans="1:7">
      <c r="A6" t="s">
        <v>145</v>
      </c>
      <c r="B6" s="68">
        <f>Income_Statement!F31</f>
        <v>1723935.2</v>
      </c>
      <c r="C6" s="67"/>
      <c r="D6" s="67"/>
      <c r="E6" s="67"/>
      <c r="F6" s="67"/>
      <c r="G6" s="67"/>
    </row>
    <row r="7" spans="1:7">
      <c r="A7" t="s">
        <v>146</v>
      </c>
      <c r="B7" s="68">
        <f>Income_Statement!F7</f>
        <v>980644</v>
      </c>
      <c r="C7" s="67"/>
      <c r="D7" s="67"/>
      <c r="E7" s="67"/>
      <c r="F7" s="67"/>
      <c r="G7" s="67"/>
    </row>
    <row r="8" spans="1:7">
      <c r="A8" t="s">
        <v>147</v>
      </c>
      <c r="B8" s="68">
        <f>Income_Statement!F20</f>
        <v>69648</v>
      </c>
      <c r="C8" s="67"/>
      <c r="D8" s="67"/>
      <c r="E8" s="67"/>
      <c r="F8" s="67"/>
      <c r="G8" s="67"/>
    </row>
    <row r="9" spans="1:7">
      <c r="A9" t="s">
        <v>148</v>
      </c>
      <c r="B9" s="66" t="s">
        <v>168</v>
      </c>
      <c r="C9" s="67"/>
      <c r="D9" s="67"/>
      <c r="E9" s="67"/>
      <c r="F9" s="67"/>
      <c r="G9" s="67"/>
    </row>
    <row r="10" spans="1:7">
      <c r="A10" t="s">
        <v>149</v>
      </c>
      <c r="B10" s="66">
        <v>1966</v>
      </c>
      <c r="C10" s="67"/>
      <c r="D10" s="67"/>
      <c r="E10" s="67"/>
      <c r="F10" s="67"/>
      <c r="G10" s="67"/>
    </row>
    <row r="11" spans="1:7">
      <c r="A11" t="s">
        <v>150</v>
      </c>
      <c r="B11" s="66" t="s">
        <v>169</v>
      </c>
      <c r="C11" s="67"/>
      <c r="D11" s="67"/>
      <c r="E11" s="67"/>
      <c r="F11" s="67"/>
      <c r="G11" s="67"/>
    </row>
    <row r="12" spans="1:7">
      <c r="B12" s="64"/>
      <c r="C12" s="65"/>
      <c r="D12" s="65"/>
      <c r="E12" s="65"/>
      <c r="F12" s="65"/>
      <c r="G12" s="65"/>
    </row>
    <row r="13" spans="1:7">
      <c r="A13" s="63" t="s">
        <v>151</v>
      </c>
      <c r="B13" s="63"/>
      <c r="C13" s="63"/>
      <c r="D13" s="63"/>
      <c r="E13" s="63"/>
      <c r="F13" s="63"/>
      <c r="G13" s="63"/>
    </row>
    <row r="14" spans="1:7">
      <c r="A14" t="s">
        <v>152</v>
      </c>
      <c r="B14" s="69" t="s">
        <v>181</v>
      </c>
      <c r="C14" s="67"/>
      <c r="D14" s="67"/>
      <c r="E14" s="67"/>
      <c r="F14" s="67"/>
      <c r="G14" s="67"/>
    </row>
    <row r="15" spans="1:7">
      <c r="A15" t="s">
        <v>153</v>
      </c>
      <c r="B15" s="69" t="s">
        <v>170</v>
      </c>
      <c r="C15" s="67"/>
      <c r="D15" s="67"/>
      <c r="E15" s="67"/>
      <c r="F15" s="67"/>
      <c r="G15" s="67"/>
    </row>
    <row r="16" spans="1:7">
      <c r="A16" t="s">
        <v>154</v>
      </c>
      <c r="B16" s="66" t="s">
        <v>171</v>
      </c>
      <c r="C16" s="67"/>
      <c r="D16" s="67"/>
      <c r="E16" s="67"/>
      <c r="F16" s="67"/>
      <c r="G16" s="67"/>
    </row>
    <row r="17" spans="1:7">
      <c r="A17" t="s">
        <v>155</v>
      </c>
      <c r="B17" s="66" t="s">
        <v>172</v>
      </c>
      <c r="C17" s="67"/>
      <c r="D17" s="67"/>
      <c r="E17" s="67"/>
      <c r="F17" s="67"/>
      <c r="G17" s="67"/>
    </row>
    <row r="18" spans="1:7">
      <c r="A18" t="s">
        <v>156</v>
      </c>
      <c r="B18" s="69" t="s">
        <v>180</v>
      </c>
      <c r="C18" s="67"/>
      <c r="D18" s="67"/>
      <c r="E18" s="67"/>
      <c r="F18" s="67"/>
      <c r="G18" s="67"/>
    </row>
    <row r="19" spans="1:7">
      <c r="B19" s="64"/>
      <c r="C19" s="65"/>
      <c r="D19" s="65"/>
      <c r="E19" s="65"/>
      <c r="F19" s="65"/>
      <c r="G19" s="65"/>
    </row>
    <row r="20" spans="1:7">
      <c r="A20" s="63" t="s">
        <v>157</v>
      </c>
      <c r="B20" s="63"/>
      <c r="C20" s="63"/>
      <c r="D20" s="63"/>
      <c r="E20" s="63"/>
      <c r="F20" s="63"/>
      <c r="G20" s="63"/>
    </row>
    <row r="21" spans="1:7">
      <c r="A21" t="s">
        <v>158</v>
      </c>
      <c r="B21" s="69" t="s">
        <v>174</v>
      </c>
      <c r="C21" s="67"/>
      <c r="D21" s="67"/>
      <c r="E21" s="67"/>
      <c r="F21" s="67"/>
      <c r="G21" s="67"/>
    </row>
    <row r="22" spans="1:7">
      <c r="A22" t="s">
        <v>159</v>
      </c>
      <c r="B22" s="69" t="s">
        <v>178</v>
      </c>
      <c r="C22" s="67"/>
      <c r="D22" s="67"/>
      <c r="E22" s="67"/>
      <c r="F22" s="67"/>
      <c r="G22" s="67"/>
    </row>
    <row r="23" spans="1:7">
      <c r="A23" t="s">
        <v>160</v>
      </c>
      <c r="B23" s="69" t="s">
        <v>179</v>
      </c>
      <c r="C23" s="67"/>
      <c r="D23" s="67"/>
      <c r="E23" s="67"/>
      <c r="F23" s="67"/>
      <c r="G23" s="67"/>
    </row>
    <row r="24" spans="1:7">
      <c r="B24" s="64"/>
      <c r="C24" s="65"/>
      <c r="D24" s="65"/>
      <c r="E24" s="65"/>
      <c r="F24" s="65"/>
      <c r="G24" s="65"/>
    </row>
    <row r="25" spans="1:7">
      <c r="A25" s="63" t="s">
        <v>161</v>
      </c>
      <c r="B25" s="63"/>
      <c r="C25" s="63"/>
      <c r="D25" s="63"/>
      <c r="E25" s="63"/>
      <c r="F25" s="63"/>
      <c r="G25" s="63"/>
    </row>
    <row r="26" spans="1:7">
      <c r="A26" t="s">
        <v>162</v>
      </c>
      <c r="B26" s="69" t="s">
        <v>175</v>
      </c>
      <c r="C26" s="67"/>
      <c r="D26" s="67"/>
      <c r="E26" s="67"/>
      <c r="F26" s="67"/>
      <c r="G26" s="67"/>
    </row>
    <row r="27" spans="1:7">
      <c r="A27" t="s">
        <v>163</v>
      </c>
      <c r="B27" s="69" t="s">
        <v>176</v>
      </c>
      <c r="C27" s="67"/>
      <c r="D27" s="67"/>
      <c r="E27" s="67"/>
      <c r="F27" s="67"/>
      <c r="G27" s="67"/>
    </row>
    <row r="28" spans="1:7">
      <c r="A28" t="s">
        <v>164</v>
      </c>
      <c r="B28" s="69" t="s">
        <v>177</v>
      </c>
      <c r="C28" s="67"/>
      <c r="D28" s="67"/>
      <c r="E28" s="67"/>
      <c r="F28" s="67"/>
      <c r="G28" s="67"/>
    </row>
    <row r="29" spans="1:7">
      <c r="B29" s="64"/>
      <c r="C29" s="65"/>
      <c r="D29" s="65"/>
      <c r="E29" s="65"/>
      <c r="F29" s="65"/>
      <c r="G29" s="65"/>
    </row>
    <row r="30" spans="1:7">
      <c r="A30" s="63" t="s">
        <v>165</v>
      </c>
      <c r="B30" s="63"/>
      <c r="C30" s="63"/>
      <c r="D30" s="63"/>
      <c r="E30" s="63"/>
      <c r="F30" s="63"/>
      <c r="G30" s="63"/>
    </row>
    <row r="31" spans="1:7" ht="59" customHeight="1">
      <c r="A31" s="11" t="s">
        <v>173</v>
      </c>
      <c r="B31" s="1"/>
      <c r="C31" s="1"/>
      <c r="D31" s="1"/>
      <c r="E31" s="1"/>
      <c r="F31" s="1"/>
      <c r="G31" s="1"/>
    </row>
  </sheetData>
  <mergeCells count="26">
    <mergeCell ref="B27:G27"/>
    <mergeCell ref="B28:G28"/>
    <mergeCell ref="A31:G31"/>
    <mergeCell ref="B18:G18"/>
    <mergeCell ref="B21:G21"/>
    <mergeCell ref="B22:G22"/>
    <mergeCell ref="B23:G23"/>
    <mergeCell ref="B26:G26"/>
    <mergeCell ref="A25:G25"/>
    <mergeCell ref="A30:G30"/>
    <mergeCell ref="B5:G5"/>
    <mergeCell ref="B6:G6"/>
    <mergeCell ref="B7:G7"/>
    <mergeCell ref="B8:G8"/>
    <mergeCell ref="B9:G9"/>
    <mergeCell ref="B10:G10"/>
    <mergeCell ref="B11:G11"/>
    <mergeCell ref="A1:G1"/>
    <mergeCell ref="A2:G2"/>
    <mergeCell ref="A4:G4"/>
    <mergeCell ref="A13:G13"/>
    <mergeCell ref="A20:G20"/>
    <mergeCell ref="B14:G14"/>
    <mergeCell ref="B15:G15"/>
    <mergeCell ref="B16:G16"/>
    <mergeCell ref="B17:G17"/>
  </mergeCells>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Income_Statement</vt:lpstr>
      <vt:lpstr>Balance_Sheet</vt:lpstr>
      <vt:lpstr>Cash_Flow</vt:lpstr>
      <vt:lpstr>Ratio_Analysis</vt:lpstr>
      <vt:lpstr>DashBoard</vt:lpstr>
      <vt:lpstr>Key_Findings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हार्दिक परमार</dc:creator>
  <cp:lastModifiedBy>हार्दिक परमार</cp:lastModifiedBy>
  <dcterms:created xsi:type="dcterms:W3CDTF">2026-03-15T15:57:47Z</dcterms:created>
  <dcterms:modified xsi:type="dcterms:W3CDTF">2026-03-16T00:26:02Z</dcterms:modified>
</cp:coreProperties>
</file>